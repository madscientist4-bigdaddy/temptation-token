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3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lan" sheetId="2" state="visible" r:id="rId4"/>
    <sheet name="Acquirers" sheetId="3" state="visible" r:id="rId5"/>
    <sheet name="Sequence" sheetId="4" state="visible" r:id="rId6"/>
    <sheet name="Scripts" sheetId="5" state="visible" r:id="rId7"/>
    <sheet name="Strengths" sheetId="6" state="visible" r:id="rId8"/>
    <sheet name="Platforms" sheetId="7" state="visible" r:id="rId9"/>
    <sheet name="Store Plan" sheetId="8" state="visible" r:id="rId10"/>
    <sheet name="Audit &amp; Liquidity" sheetId="9" state="visible" r:id="rId11"/>
    <sheet name="Data Room" sheetId="10" state="visible" r:id="rId12"/>
    <sheet name="Closing" sheetId="11" state="visible" r:id="rId13"/>
    <sheet name="Scoring Model" sheetId="12" state="visible" r:id="rId14"/>
    <sheet name="Targets" sheetId="13" state="visible" r:id="rId15"/>
    <sheet name="Events &amp; Hangouts" sheetId="14" state="visible" r:id="rId16"/>
    <sheet name="Agency EV Calculator" sheetId="15" state="visible" r:id="rId17"/>
  </sheets>
  <definedNames>
    <definedName function="false" hidden="true" localSheetId="2" name="_xlnm._FilterDatabase" vbProcedure="false">Acquirers!$A$1:$S$14</definedName>
    <definedName function="false" hidden="true" localSheetId="1" name="_xlnm._FilterDatabase" vbProcedure="false">Plan!$A$1:$K$66</definedName>
    <definedName function="false" hidden="true" localSheetId="3" name="_xlnm._FilterDatabase" vbProcedure="false">Sequence!$A$1:$I$49</definedName>
    <definedName function="false" hidden="true" localSheetId="12" name="_xlnm._FilterDatabase" vbProcedure="false">Targets!$A$1:$AD$52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<sst xmlns="http://schemas.openxmlformats.org/spreadsheetml/2006/main" count="2476" uniqueCount="1311">
  <si>
    <t xml:space="preserve">Temptation Token — Sell This Software Plan (updated Sept 24, 2026)</t>
  </si>
  <si>
    <t xml:space="preserve">Built on the Sept 19 agency workbook. Every Sept 19 tab is kept (Targets, Scoring Model, Events, EV Calculator); the sale-plan tabs are new. Sender identity for all TTS correspondence: jim@temptationtoken.io.</t>
  </si>
  <si>
    <t xml:space="preserve">DASHBOARD</t>
  </si>
  <si>
    <t xml:space="preserve">Offer review date</t>
  </si>
  <si>
    <t xml:space="preserve">Days until offer review</t>
  </si>
  <si>
    <t xml:space="preserve">Plan tasks</t>
  </si>
  <si>
    <t xml:space="preserve">Plan tasks marked Done</t>
  </si>
  <si>
    <t xml:space="preserve">Plan completion</t>
  </si>
  <si>
    <t xml:space="preserve">Acquirers on the list</t>
  </si>
  <si>
    <t xml:space="preserve">Acquirers with a meeting booked or later</t>
  </si>
  <si>
    <t xml:space="preserve">Agencies on the Sept 19 target list</t>
  </si>
  <si>
    <t xml:space="preserve">HOW THE AUTOMATION WORKS</t>
  </si>
  <si>
    <t xml:space="preserve">1. Plan tab = the master schedule (ET). The same tasks are in TTS_Sale_Plan_Proton.ics (import into Proton Calendar) and tasks.json (feeds the 7:00 AM daily email).</t>
  </si>
  <si>
    <t xml:space="preserve">2. Daily email: tts_daily_digest.py runs on your Mac every morning at 7:00 AM ET through Proton Mail Bridge and sends today's tasks + tomorrow's preview + live numbers.</t>
  </si>
  <si>
    <t xml:space="preserve">3. Status column (Plan, Acquirers): pick from the dropdown. The dashboard above counts it.</t>
  </si>
  <si>
    <t xml:space="preserve">4. Owners: Jim = only you can do it. Jim + Mike = both signatures. Claude Code = runs on your Mac from the sprint prompt. Auto = scheduled, nothing to do.</t>
  </si>
  <si>
    <t xml:space="preserve">LEGEND</t>
  </si>
  <si>
    <t xml:space="preserve">Blue text = inputs you can change. Black = formulas or fixed text. Yellow fill = verify or fill in. Orange rows on Plan = launch day and offer day.</t>
  </si>
  <si>
    <t xml:space="preserve">CONTACT RULES (kept from Sept 19)</t>
  </si>
  <si>
    <t xml:space="preserve">Only business contacts from public sources are listed. 'Not published' means no public source was found — the Other routes column gives the legitimate way in (forms, LinkedIn, Impressum, Companies House, state registries). No personal numbers or home addresses, by design.</t>
  </si>
  <si>
    <t xml:space="preserve">Canada (ManyVids): no cold email under CASL — LinkedIn or phone only. UK/EU: B2B email with a clear identity and opt-out. US: CAN-SPAM footer with the LLC postal address.</t>
  </si>
  <si>
    <t xml:space="preserve">WHAT CHANGED SINCE SEPT 19</t>
  </si>
  <si>
    <t xml:space="preserve">New tabs: Plan, Acquirers, Sequence, Scripts, Strengths, Platforms, Store Plan, Audit &amp; Liquidity, Data Room, Closing. The old Send Schedule tab is replaced by Plan (sale mode). The Targets tab keeps all agencies for weekly enlistment — every enrolled agency is demand evidence for the sale.</t>
  </si>
  <si>
    <t xml:space="preserve">ID</t>
  </si>
  <si>
    <t xml:space="preserve">Date</t>
  </si>
  <si>
    <t xml:space="preserve">Day</t>
  </si>
  <si>
    <t xml:space="preserve">Time (ET)</t>
  </si>
  <si>
    <t xml:space="preserve">Owner</t>
  </si>
  <si>
    <t xml:space="preserve">Workstream</t>
  </si>
  <si>
    <t xml:space="preserve">Task</t>
  </si>
  <si>
    <t xml:space="preserve">How / detail</t>
  </si>
  <si>
    <t xml:space="preserve">Status</t>
  </si>
  <si>
    <t xml:space="preserve">Done on</t>
  </si>
  <si>
    <t xml:space="preserve">Notes</t>
  </si>
  <si>
    <t xml:space="preserve">T01</t>
  </si>
  <si>
    <t xml:space="preserve">20:00</t>
  </si>
  <si>
    <t xml:space="preserve">Jim</t>
  </si>
  <si>
    <t xml:space="preserve">OPS</t>
  </si>
  <si>
    <t xml:space="preserve">Turn on Telegram two-step verification</t>
  </si>
  <si>
    <t xml:space="preserve">On the Telegram account that owns @TemptationTokenBot and the channels: Settings &gt; Privacy &amp; Security &gt; Two-Step Verification. Starts the 7-day clock Telegram requires before a bot can change owners. Do not change the password afterward.</t>
  </si>
  <si>
    <t xml:space="preserve">Not started</t>
  </si>
  <si>
    <t xml:space="preserve">T02</t>
  </si>
  <si>
    <t xml:space="preserve">20:15</t>
  </si>
  <si>
    <t xml:space="preserve">LEGAL</t>
  </si>
  <si>
    <t xml:space="preserve">Send Mike the member consent + Safe-signer agreement</t>
  </si>
  <si>
    <t xml:space="preserve">Written consent to sell (assets or the LLC) plus his agreement to sign the Safe transfer at close. Checklist: Data Room tab.</t>
  </si>
  <si>
    <t xml:space="preserve">T03</t>
  </si>
  <si>
    <t xml:space="preserve">21:00</t>
  </si>
  <si>
    <t xml:space="preserve">Paste the Claude Code sprint prompt and let it run overnight</t>
  </si>
  <si>
    <t xml:space="preserve">File: TTS_Sale_Sprint_ClaudeCode.md. Opens the site to crawlers, generates the AI Models batch, fork-tests the liquidity move, runs the pre-audit, installs the daily reminder email.</t>
  </si>
  <si>
    <t xml:space="preserve">T04</t>
  </si>
  <si>
    <t xml:space="preserve">07:00</t>
  </si>
  <si>
    <t xml:space="preserve">Auto</t>
  </si>
  <si>
    <t xml:space="preserve">First daily digest email arrives</t>
  </si>
  <si>
    <t xml:space="preserve">Today's tasks, tomorrow's preview, live numbers. Arrives every day at 7:00 AM ET through Nov 6.</t>
  </si>
  <si>
    <t xml:space="preserve">T05</t>
  </si>
  <si>
    <t xml:space="preserve">08:30</t>
  </si>
  <si>
    <t xml:space="preserve">STORE</t>
  </si>
  <si>
    <t xml:space="preserve">Check Google Play account type</t>
  </si>
  <si>
    <t xml:space="preserve">Play Console &gt; Settings &gt; Developer account &gt; Account details. Personal (created after Nov 13, 2023) = 14-day closed test with 12+ testers first. Organization = submit to production now. Tell Claude Code which.</t>
  </si>
  <si>
    <t xml:space="preserve">T06</t>
  </si>
  <si>
    <t xml:space="preserve">09:00</t>
  </si>
  <si>
    <t xml:space="preserve">AUDIT</t>
  </si>
  <si>
    <t xml:space="preserve">Send the SolidProof quote request</t>
  </si>
  <si>
    <t xml:space="preserve">Draft: outputs/sale/solidproof_request.md. Phase 1 scope: token + TTSVotingV3d; phase 2: staking + Trophy. Ask price, start date, expedited turnaround, report pinned to the live addresses.</t>
  </si>
  <si>
    <t xml:space="preserve">T07</t>
  </si>
  <si>
    <t xml:space="preserve">09:30</t>
  </si>
  <si>
    <t xml:space="preserve">LIQ</t>
  </si>
  <si>
    <t xml:space="preserve">Transak: generate the PRODUCTION API key</t>
  </si>
  <si>
    <t xml:space="preserve">Business verification is done, so pull the production key in the Transak dashboard and hand it to Claude Code through its secure prompt (never paste keys in chat).</t>
  </si>
  <si>
    <t xml:space="preserve">T08</t>
  </si>
  <si>
    <t xml:space="preserve">10:00</t>
  </si>
  <si>
    <t xml:space="preserve">AI</t>
  </si>
  <si>
    <t xml:space="preserve">Create an image-generation API key</t>
  </si>
  <si>
    <t xml:space="preserve">Replicate, fal.ai or OpenAI. Add IMAGE_API_KEY to the repo .env. Costs pennies per image.</t>
  </si>
  <si>
    <t xml:space="preserve">T09</t>
  </si>
  <si>
    <t xml:space="preserve">12:00</t>
  </si>
  <si>
    <t xml:space="preserve">Read the liquidity fork-test report</t>
  </si>
  <si>
    <t xml:space="preserve">outputs/sale/liquidity_forktest.md: card-buy sizes before/after, price impact, and exactly what Safe transaction #1 does.</t>
  </si>
  <si>
    <t xml:space="preserve">T10</t>
  </si>
  <si>
    <t xml:space="preserve">13:00</t>
  </si>
  <si>
    <t xml:space="preserve">Jim + Mike</t>
  </si>
  <si>
    <t xml:space="preserve">Sign Safe transaction #1: liquidity</t>
  </si>
  <si>
    <t xml:space="preserve">Creates the new concentrated pool, exempts it from the transfer tax, adds Treasury TTS single-sided above the current price. Both signatures required.</t>
  </si>
  <si>
    <t xml:space="preserve">T11</t>
  </si>
  <si>
    <t xml:space="preserve">15:00</t>
  </si>
  <si>
    <t xml:space="preserve">Approve the AI Models batch in admin</t>
  </si>
  <si>
    <t xml:space="preserve">Approval queue in admin. Reject anything that looks under 25, any nudity, any resemblance to a real person.</t>
  </si>
  <si>
    <t xml:space="preserve">T12</t>
  </si>
  <si>
    <t xml:space="preserve">16:00</t>
  </si>
  <si>
    <t xml:space="preserve">Personal Play account only: recruit 15-20 testers</t>
  </si>
  <si>
    <t xml:space="preserve">Send the closed-test opt-in link from outputs/listings/play_closed_test.md. 12 must stay opted in 14 straight days; over-recruit so attrition never resets the clock.</t>
  </si>
  <si>
    <t xml:space="preserve">T13</t>
  </si>
  <si>
    <t xml:space="preserve">17:00</t>
  </si>
  <si>
    <t xml:space="preserve">SITE</t>
  </si>
  <si>
    <t xml:space="preserve">Verify temptationtoken.io in Google Search Console + Bing Webmaster</t>
  </si>
  <si>
    <t xml:space="preserve">DNS TXT record at the registrar, then import the site into Bing Webmaster Tools. Unlocks the traffic data buyers ask for.</t>
  </si>
  <si>
    <t xml:space="preserve">T14</t>
  </si>
  <si>
    <t xml:space="preserve">Claude Code</t>
  </si>
  <si>
    <t xml:space="preserve">Site rebuild on staging: same look, new structure</t>
  </si>
  <si>
    <t xml:space="preserve">Before/after screenshots in outputs/site/. Review on your phone.</t>
  </si>
  <si>
    <t xml:space="preserve">T15</t>
  </si>
  <si>
    <t xml:space="preserve">14:00</t>
  </si>
  <si>
    <t xml:space="preserve">Approve the rebuilt site for publish</t>
  </si>
  <si>
    <t xml:space="preserve">Additive, revision-safe edits only (the Aug 16 rule).</t>
  </si>
  <si>
    <t xml:space="preserve">T16</t>
  </si>
  <si>
    <t xml:space="preserve">11:00</t>
  </si>
  <si>
    <t xml:space="preserve">DATA</t>
  </si>
  <si>
    <t xml:space="preserve">Record the 2-3 minute Loom demo</t>
  </si>
  <si>
    <t xml:space="preserve">Board &gt; Face ID signup &gt; vote &gt; trophy on Basescan &gt; admin &gt; club signup &gt; AI Models division. Paste the link into LOOM_URL.</t>
  </si>
  <si>
    <t xml:space="preserve">T17</t>
  </si>
  <si>
    <t xml:space="preserve">18:00</t>
  </si>
  <si>
    <t xml:space="preserve">Review the data room draft</t>
  </si>
  <si>
    <t xml:space="preserve">outputs/sale/data_room/ - mark anything to add.</t>
  </si>
  <si>
    <t xml:space="preserve">T18</t>
  </si>
  <si>
    <t xml:space="preserve">AI Models rotation #1</t>
  </si>
  <si>
    <t xml:space="preserve">Runs after the round settles. Retires the oldest AI entries, activates the next approved batch; one extra retires for each new verified creator.</t>
  </si>
  <si>
    <t xml:space="preserve">T19</t>
  </si>
  <si>
    <t xml:space="preserve">Sign Safe transaction #2: 48-hour timelock</t>
  </si>
  <si>
    <t xml:space="preserve">Moves admin + upgrader roles behind the timelock. Runs after liquidity is live, because the pool's tax exemption must be set first.</t>
  </si>
  <si>
    <t xml:space="preserve">T20</t>
  </si>
  <si>
    <t xml:space="preserve">Live card test: buy $30 of TTS by card on your phone</t>
  </si>
  <si>
    <t xml:space="preserve">Confirms Transak &gt; swap &gt; wallet end to end in production.</t>
  </si>
  <si>
    <t xml:space="preserve">T21</t>
  </si>
  <si>
    <t xml:space="preserve">IndexNow push + request indexing on the top 10 pages</t>
  </si>
  <si>
    <t xml:space="preserve">Every URL goes to IndexNow engines within hours; Google via Search Console.</t>
  </si>
  <si>
    <t xml:space="preserve">T22</t>
  </si>
  <si>
    <t xml:space="preserve">Play: org account &gt; submit production; personal &gt; confirm 12+ testers opted in</t>
  </si>
  <si>
    <t xml:space="preserve">Listing copy: outputs/listings/play_store_listing.md.</t>
  </si>
  <si>
    <t xml:space="preserve">T23</t>
  </si>
  <si>
    <t xml:space="preserve">OUTREACH</t>
  </si>
  <si>
    <t xml:space="preserve">Register TTS on base.dev and submit the mini app form</t>
  </si>
  <si>
    <t xml:space="preserve">Builder presence in the Base ecosystem; your paymaster already meets the sponsored-gas criterion.</t>
  </si>
  <si>
    <t xml:space="preserve">T24</t>
  </si>
  <si>
    <t xml:space="preserve">Approve the one-pager and listing drafts</t>
  </si>
  <si>
    <t xml:space="preserve">outputs/sale/listings/ (Acquire.Fi, SideProjectors, IndieMaker).</t>
  </si>
  <si>
    <t xml:space="preserve">T25</t>
  </si>
  <si>
    <t xml:space="preserve">LinkedIn: follow every decision-maker on the Acquirers tab</t>
  </si>
  <si>
    <t xml:space="preserve">Warms up the Oct 1 connection requests.</t>
  </si>
  <si>
    <t xml:space="preserve">T26</t>
  </si>
  <si>
    <t xml:space="preserve">Put counsel's sign-off letter in the data room</t>
  </si>
  <si>
    <t xml:space="preserve">One page confirming the legal review is complete - a strength buyers value.</t>
  </si>
  <si>
    <t xml:space="preserve">T27</t>
  </si>
  <si>
    <t xml:space="preserve">Final QA: crawler test per bot, speed, schema, links</t>
  </si>
  <si>
    <t xml:space="preserve">Report: outputs/site/qa_final.md.</t>
  </si>
  <si>
    <t xml:space="preserve">T28</t>
  </si>
  <si>
    <t xml:space="preserve">Approve the Oct 1 automated batch</t>
  </si>
  <si>
    <t xml:space="preserve">Claude Code queues each email for 9:05 AM recipient-local time; a canary copy to you fires first.</t>
  </si>
  <si>
    <t xml:space="preserve">T29</t>
  </si>
  <si>
    <t xml:space="preserve">09:05</t>
  </si>
  <si>
    <t xml:space="preserve">LAUNCH - Email 1 to AROA + RCI investor relations</t>
  </si>
  <si>
    <t xml:space="preserve">office@aroaagency.com; gfishman@pondel.com + mwichman@pondel.com. SheX goes at 3:05 AM ET (9:05 Berlin) once the Impressum address is verified.</t>
  </si>
  <si>
    <t xml:space="preserve">T30</t>
  </si>
  <si>
    <t xml:space="preserve">Submit listings: Acquire.Fi, SideProjectors, IndieMaker</t>
  </si>
  <si>
    <t xml:space="preserve">Same one-pager everywhere. Offers reviewed Fri Oct 16.</t>
  </si>
  <si>
    <t xml:space="preserve">T31</t>
  </si>
  <si>
    <t xml:space="preserve">Contact forms: Creators Inc, Fanvue, Infloww, The Clueless</t>
  </si>
  <si>
    <t xml:space="preserve">Paste Email 1 with each company's hook (Scripts tab).</t>
  </si>
  <si>
    <t xml:space="preserve">T32</t>
  </si>
  <si>
    <t xml:space="preserve">10:30</t>
  </si>
  <si>
    <t xml:space="preserve">LinkedIn connection requests with note</t>
  </si>
  <si>
    <t xml:space="preserve">Monange, Fitzgerald, Morris (Fanvue); Bachman (Creators Inc); Langan (RCI); Cruz (The Clueless); Etelis (Fansly); French (ManyVids); Bouslama (Acquire.Fi).</t>
  </si>
  <si>
    <t xml:space="preserve">T33</t>
  </si>
  <si>
    <t xml:space="preserve">12:30</t>
  </si>
  <si>
    <t xml:space="preserve">DMs: Instagram, Telegram, X</t>
  </si>
  <si>
    <t xml:space="preserve">IG: @creatorsinc / Andy Bachman, @tonyizzet, Louna. Telegram: t.me/supercreator_app. X: @Acquire_Fi.</t>
  </si>
  <si>
    <t xml:space="preserve">T34</t>
  </si>
  <si>
    <t xml:space="preserve">Reply to every response within an hour; book calls</t>
  </si>
  <si>
    <t xml:space="preserve">calendly.com/temptationtoken/phone-meeting. Screen-share the live app, not slides.</t>
  </si>
  <si>
    <t xml:space="preserve">T35</t>
  </si>
  <si>
    <t xml:space="preserve">Telegram follow-up to AROA</t>
  </si>
  <si>
    <t xml:space="preserve">t.me/aroaagency1 - one line + the Loom.</t>
  </si>
  <si>
    <t xml:space="preserve">T36</t>
  </si>
  <si>
    <t xml:space="preserve">AI Models rotation #2</t>
  </si>
  <si>
    <t xml:space="preserve">Automatic after settlement.</t>
  </si>
  <si>
    <t xml:space="preserve">T37</t>
  </si>
  <si>
    <t xml:space="preserve">Weekly results note to engaged buyers</t>
  </si>
  <si>
    <t xml:space="preserve">Round winner, votes, new creators, pool depth, card buys. Claude Code drafts it from live data.</t>
  </si>
  <si>
    <t xml:space="preserve">T38</t>
  </si>
  <si>
    <t xml:space="preserve">Email 2 (proof + data room under NDA) to AROA + RCI IR</t>
  </si>
  <si>
    <t xml:space="preserve">Includes the Loom and what shipped since Oct 1.</t>
  </si>
  <si>
    <t xml:space="preserve">T39</t>
  </si>
  <si>
    <t xml:space="preserve">Email 2 via LinkedIn messages and forms</t>
  </si>
  <si>
    <t xml:space="preserve">Same content to every accepted connection and form contact.</t>
  </si>
  <si>
    <t xml:space="preserve">T40</t>
  </si>
  <si>
    <t xml:space="preserve">Call RCI investor relations: 212-883-0655</t>
  </si>
  <si>
    <t xml:space="preserve">Ask who evaluates digital partnerships or acquisitions; send a same-day recap email. Script: Scripts tab.</t>
  </si>
  <si>
    <t xml:space="preserve">T41</t>
  </si>
  <si>
    <t xml:space="preserve">11:30</t>
  </si>
  <si>
    <t xml:space="preserve">One-line follow-up DMs to non-responders</t>
  </si>
  <si>
    <t xml:space="preserve">Line + Loom link.</t>
  </si>
  <si>
    <t xml:space="preserve">T42</t>
  </si>
  <si>
    <t xml:space="preserve">Visit 2-3 clubs from your club list with the /clubs QR</t>
  </si>
  <si>
    <t xml:space="preserve">Goal: signed-up clubs = demand evidence for the data room. Optional: Rick's Cabaret New York, 50 W 33rd St - ask for the GM and a corporate intro.</t>
  </si>
  <si>
    <t xml:space="preserve">T43</t>
  </si>
  <si>
    <t xml:space="preserve">Personal Play account: closed test hits 14 days - apply for production</t>
  </si>
  <si>
    <t xml:space="preserve">Answers: outputs/listings/play_production_answers.md.</t>
  </si>
  <si>
    <t xml:space="preserve">T44</t>
  </si>
  <si>
    <t xml:space="preserve">Check SolidProof status; answer any questions same day</t>
  </si>
  <si>
    <t xml:space="preserve">T45</t>
  </si>
  <si>
    <t xml:space="preserve">AI Models rotation #3</t>
  </si>
  <si>
    <t xml:space="preserve">T46</t>
  </si>
  <si>
    <t xml:space="preserve">Email 3 ('offers reviewed Friday') to AROA + RCI IR</t>
  </si>
  <si>
    <t xml:space="preserve">Jim sends the same note via LinkedIn/forms at 10:00.</t>
  </si>
  <si>
    <t xml:space="preserve">T47</t>
  </si>
  <si>
    <t xml:space="preserve">Open the data room to every buyer who signed the NDA</t>
  </si>
  <si>
    <t xml:space="preserve">Track who opened what - interest signal.</t>
  </si>
  <si>
    <t xml:space="preserve">T48</t>
  </si>
  <si>
    <t xml:space="preserve">Publish the SolidProof report on /audit, pinned to live addresses</t>
  </si>
  <si>
    <t xml:space="preserve">Then send it to every engaged buyer.</t>
  </si>
  <si>
    <t xml:space="preserve">T49</t>
  </si>
  <si>
    <t xml:space="preserve">Last-call note to engaged buyers</t>
  </si>
  <si>
    <t xml:space="preserve">'Reviewing offers tomorrow at 5 PM ET.'</t>
  </si>
  <si>
    <t xml:space="preserve">T50</t>
  </si>
  <si>
    <t xml:space="preserve">CLOSE</t>
  </si>
  <si>
    <t xml:space="preserve">OFFERS REVIEW</t>
  </si>
  <si>
    <t xml:space="preserve">Rank by total value, cash at close, earn-out terms, certainty, speed. Best structure beats biggest headline.</t>
  </si>
  <si>
    <t xml:space="preserve">T51</t>
  </si>
  <si>
    <t xml:space="preserve">AI Models rotation #4</t>
  </si>
  <si>
    <t xml:space="preserve">T52</t>
  </si>
  <si>
    <t xml:space="preserve">Counter/accept, sign the LOI, engage the lawyer</t>
  </si>
  <si>
    <t xml:space="preserve">Asset purchase vs. LLC purchase per CPA advice.</t>
  </si>
  <si>
    <t xml:space="preserve">T53</t>
  </si>
  <si>
    <t xml:space="preserve">Open escrow; buyer deposit</t>
  </si>
  <si>
    <t xml:space="preserve">T54</t>
  </si>
  <si>
    <t xml:space="preserve">Buyer diligence Q&amp;A session</t>
  </si>
  <si>
    <t xml:space="preserve">Data room + live walkthrough.</t>
  </si>
  <si>
    <t xml:space="preserve">T55</t>
  </si>
  <si>
    <t xml:space="preserve">Clock change: UK/EU fell back - London is ET+4 until Nov 1</t>
  </si>
  <si>
    <t xml:space="preserve">T56</t>
  </si>
  <si>
    <t xml:space="preserve">AI Models rotation #5</t>
  </si>
  <si>
    <t xml:space="preserve">T57</t>
  </si>
  <si>
    <t xml:space="preserve">Transfer rehearsal on a fork</t>
  </si>
  <si>
    <t xml:space="preserve">Safe owner swap, role moves, bot transfer checklist, project transfers - dry run.</t>
  </si>
  <si>
    <t xml:space="preserve">T58</t>
  </si>
  <si>
    <t xml:space="preserve">Sign the purchase agreement</t>
  </si>
  <si>
    <t xml:space="preserve">T59</t>
  </si>
  <si>
    <t xml:space="preserve">Clock change: US fell back - all times now EST</t>
  </si>
  <si>
    <t xml:space="preserve">T60</t>
  </si>
  <si>
    <t xml:space="preserve">AI Models rotation #6 (skip if closed)</t>
  </si>
  <si>
    <t xml:space="preserve">T61</t>
  </si>
  <si>
    <t xml:space="preserve">Escrow funded - start transfers per the runbook</t>
  </si>
  <si>
    <t xml:space="preserve">Closing tab, in order.</t>
  </si>
  <si>
    <t xml:space="preserve">T62</t>
  </si>
  <si>
    <t xml:space="preserve">Transfers day 1: Safe owner swap + roles + treasury to buyer wallets</t>
  </si>
  <si>
    <t xml:space="preserve">Onchain moves only - never hand over keys or seed phrases.</t>
  </si>
  <si>
    <t xml:space="preserve">T63</t>
  </si>
  <si>
    <t xml:space="preserve">Transfers day 2: domains, hosting, repo, cloud projects, Expo/Play, Telegram bot</t>
  </si>
  <si>
    <t xml:space="preserve">T64</t>
  </si>
  <si>
    <t xml:space="preserve">Rotate every key and secret; verify buyer controls everything</t>
  </si>
  <si>
    <t xml:space="preserve">T65</t>
  </si>
  <si>
    <t xml:space="preserve">Buyer confirms receipt - escrow releases funds</t>
  </si>
  <si>
    <t xml:space="preserve">Sale closed.</t>
  </si>
  <si>
    <t xml:space="preserve">Tier</t>
  </si>
  <si>
    <t xml:space="preserve">Company</t>
  </si>
  <si>
    <t xml:space="preserve">Category</t>
  </si>
  <si>
    <t xml:space="preserve">HQ / time zone</t>
  </si>
  <si>
    <t xml:space="preserve">Decision-maker(s) (public)</t>
  </si>
  <si>
    <t xml:space="preserve">Title</t>
  </si>
  <si>
    <t xml:space="preserve">Verified business contact (published)</t>
  </si>
  <si>
    <t xml:space="preserve">Other routes</t>
  </si>
  <si>
    <t xml:space="preserve">Visit / in person</t>
  </si>
  <si>
    <t xml:space="preserve">Why they buy (strength framing)</t>
  </si>
  <si>
    <t xml:space="preserve">Opening hook</t>
  </si>
  <si>
    <t xml:space="preserve">Structure to lead with</t>
  </si>
  <si>
    <t xml:space="preserve">Outreach law</t>
  </si>
  <si>
    <t xml:space="preserve">Source(s)</t>
  </si>
  <si>
    <t xml:space="preserve">Verified?</t>
  </si>
  <si>
    <t xml:space="preserve">Next step</t>
  </si>
  <si>
    <t xml:space="preserve">Next date</t>
  </si>
  <si>
    <t xml:space="preserve">A1</t>
  </si>
  <si>
    <t xml:space="preserve">Fanvue</t>
  </si>
  <si>
    <t xml:space="preserve">Fan platform - AI-creator category leader</t>
  </si>
  <si>
    <t xml:space="preserve">London (Canary Wharf) - ET+5 until Oct 25, then ET+4 until Nov 1</t>
  </si>
  <si>
    <t xml:space="preserve">Will Monange; Harry Fitzgerald; Joel Morris</t>
  </si>
  <si>
    <t xml:space="preserve">Co-founder &amp; CEO; Co-founder &amp; COO; Co-founder</t>
  </si>
  <si>
    <t xml:space="preserve">Business email not published in the sources checked</t>
  </si>
  <si>
    <t xml:space="preserve">LinkedIn (all three founders); fanvue.com business contact; public developer API (integration angle)</t>
  </si>
  <si>
    <t xml:space="preserve">London HQ by appointment; XBIZ LA Jan 7-10, 2027</t>
  </si>
  <si>
    <t xml:space="preserve">Built its growth on AI creators and runs the Miss AI pageant - TTS is a weekly onchain fan vote with a disclosed AI Models division next to verified creators, ready to plug into Fanvue's public API.</t>
  </si>
  <si>
    <t xml:space="preserve">Miss AI proved fans will vote on AI creators. We run that vote every week, onchain, with an AI Models division beside verified creators.</t>
  </si>
  <si>
    <t xml:space="preserve">Cash + earn-out tied to creators onboarded; or tech acquisition + 60-day consulting</t>
  </si>
  <si>
    <t xml:space="preserve">UK PECR B2B: identify yourself, give an opt-out</t>
  </si>
  <si>
    <t xml:space="preserve">BusinessWire Jan 12 2026 (Series A, founders' titles); Las Vegas Sun Jul 10 2026 ($200M run rate, CEO); Wikipedia/Fanvue (AI creators, Miss AI, public API 2025)</t>
  </si>
  <si>
    <t xml:space="preserve">Names/titles: yes. Email/phone: not published</t>
  </si>
  <si>
    <t xml:space="preserve">Not contacted</t>
  </si>
  <si>
    <t xml:space="preserve">A2</t>
  </si>
  <si>
    <t xml:space="preserve">Creators Inc</t>
  </si>
  <si>
    <t xml:space="preserve">OnlyFans management agency - largest roster found</t>
  </si>
  <si>
    <t xml:space="preserve">Miami, FL - ET</t>
  </si>
  <si>
    <t xml:space="preserve">Andrew (Andy) Bachman</t>
  </si>
  <si>
    <t xml:space="preserve">Founder &amp; CEO</t>
  </si>
  <si>
    <t xml:space="preserve">Not published (site uses a contact form)</t>
  </si>
  <si>
    <t xml:space="preserve">creatorsinc.com/contact form; Instagram @creatorsinc; weekly podcast (guest pitch); FL Sunbiz for the principal address (direct mail)</t>
  </si>
  <si>
    <t xml:space="preserve">Miami Swim Week - CI Swimwear show (late May/early June)</t>
  </si>
  <si>
    <t xml:space="preserve">400+ creators. Owning the vote means owning a weekly traffic event for the entire roster instead of renting attention.</t>
  </si>
  <si>
    <t xml:space="preserve">Your roster is the biggest audience in the category. The platform that turns it into a weekly event is built and running.</t>
  </si>
  <si>
    <t xml:space="preserve">Cash + earn-out; or equity partnership</t>
  </si>
  <si>
    <t xml:space="preserve">US CAN-SPAM</t>
  </si>
  <si>
    <t xml:space="preserve">Sept 19 workbook (creatorsinc.com; Supercreator directory)</t>
  </si>
  <si>
    <t xml:space="preserve">Name/title: yes. Email: not published</t>
  </si>
  <si>
    <t xml:space="preserve">A3</t>
  </si>
  <si>
    <t xml:space="preserve">AROA Agency</t>
  </si>
  <si>
    <t xml:space="preserve">OnlyFans management agency (multi-country)</t>
  </si>
  <si>
    <t xml:space="preserve">Miami, FL (HQ) - ET</t>
  </si>
  <si>
    <t xml:space="preserve">Not published - ask office@ for the partnerships lead by name</t>
  </si>
  <si>
    <t xml:space="preserve">-</t>
  </si>
  <si>
    <t xml:space="preserve">office@aroaagency.com (site footer, verified Sept 2026); 8101 Biscayne Blvd, Ph 703-24, Miami, FL 33138</t>
  </si>
  <si>
    <t xml:space="preserve">Telegram t.me/aroaagency1; aroaagency.com/uk/contact</t>
  </si>
  <si>
    <t xml:space="preserve">XBIZ / AVN (attends)</t>
  </si>
  <si>
    <t xml:space="preserve">Refer-Creators program = referral economics; TTS pays referral rewards onchain every week across a multilingual roster.</t>
  </si>
  <si>
    <t xml:space="preserve">Your Refer-Creators program already runs on referral economics - this runs it onchain, weekly, for every creator you place.</t>
  </si>
  <si>
    <t xml:space="preserve">Cash + earn-out</t>
  </si>
  <si>
    <t xml:space="preserve">aroaagency.com/uk (Sept 19 verification)</t>
  </si>
  <si>
    <t xml:space="preserve">Email + address: yes</t>
  </si>
  <si>
    <t xml:space="preserve">A4</t>
  </si>
  <si>
    <t xml:space="preserve">Infloww</t>
  </si>
  <si>
    <t xml:space="preserve">Agency software (OnlyFans CRM) moving into AI + fintech</t>
  </si>
  <si>
    <t xml:space="preserve">London - ET+5 until Oct 25</t>
  </si>
  <si>
    <t xml:space="preserve">Not published - UK Companies House lists the directors</t>
  </si>
  <si>
    <t xml:space="preserve">Director(s)</t>
  </si>
  <si>
    <t xml:space="preserve">Not published</t>
  </si>
  <si>
    <t xml:space="preserve">infloww.com contact; Companies House officer search; LinkedIn</t>
  </si>
  <si>
    <t xml:space="preserve">Diversifying into AI tools and fintech - TTS is a finished fan-engagement + payments layer its agency customers can switch on.</t>
  </si>
  <si>
    <t xml:space="preserve">You're building into AI and fintech. Here's a finished engagement-and-payments layer your agencies could turn on next month.</t>
  </si>
  <si>
    <t xml:space="preserve">Cash acquisition of the engine + optional revenue share</t>
  </si>
  <si>
    <t xml:space="preserve">UK PECR B2B</t>
  </si>
  <si>
    <t xml:space="preserve">Company profile (London private limited, founded 2019, ~45 staff); WebCatalog (AI + fintech diversification)</t>
  </si>
  <si>
    <t xml:space="preserve">Company facts: yes. Decision-maker: look up</t>
  </si>
  <si>
    <t xml:space="preserve">A5</t>
  </si>
  <si>
    <t xml:space="preserve">Supercreator (supercreator.app)</t>
  </si>
  <si>
    <t xml:space="preserve">Agency software + global agency directory</t>
  </si>
  <si>
    <t xml:space="preserve">Tel Aviv - ET+7</t>
  </si>
  <si>
    <t xml:space="preserve">Co-founders Yuval and Amir (surnames not published in sources found)</t>
  </si>
  <si>
    <t xml:space="preserve">Co-founders</t>
  </si>
  <si>
    <t xml:space="preserve">Telegram t.me/supercreator_app; X @Supercreatorapp; consultation Calendly on supercreator.app</t>
  </si>
  <si>
    <t xml:space="preserve">Their directory is the global agency list - TTS becomes a perk they hand every listed agency, or a product they own outright.</t>
  </si>
  <si>
    <t xml:space="preserve">Your directory is where agencies live. This is a weekly traffic engine you could hand every one of them.</t>
  </si>
  <si>
    <t xml:space="preserve">Cash + rev share on agencies onboarded</t>
  </si>
  <si>
    <t xml:space="preserve">B2B with opt-out</t>
  </si>
  <si>
    <t xml:space="preserve">Startup registry profile (founded 2022, Tel Aviv); Sept 19 workbook (channels)</t>
  </si>
  <si>
    <t xml:space="preserve">Channels: yes. Full names: no</t>
  </si>
  <si>
    <t xml:space="preserve">A6</t>
  </si>
  <si>
    <t xml:space="preserve">RCI Hospitality Holdings (NASDAQ: RICK)</t>
  </si>
  <si>
    <t xml:space="preserve">Public club operator (60+ locations)</t>
  </si>
  <si>
    <t xml:space="preserve">Houston, TX - ET-1</t>
  </si>
  <si>
    <t xml:space="preserve">Eric Langan</t>
  </si>
  <si>
    <t xml:space="preserve">Chairman, President &amp; CEO</t>
  </si>
  <si>
    <t xml:space="preserve">Media &amp; investor contacts (published Nov 2025): Gary Fishman &amp; Michael Wichman, 212-883-0655, gfishman@pondel.com, mwichman@pondel.com</t>
  </si>
  <si>
    <t xml:space="preserve">X @RCIHHinc; LinkedIn (Langan)</t>
  </si>
  <si>
    <t xml:space="preserve">Rick's Cabaret New York, 50 W 33rd St, NYC (business venue)</t>
  </si>
  <si>
    <t xml:space="preserve">60+ venues whose customers want to be seen; the /clubs flow lets any venue run its own weekly fan vote from a phone - fan engagement that drives door traffic.</t>
  </si>
  <si>
    <t xml:space="preserve">Your venues already sell the experience of being seen. This lets every club run a weekly fan vote from a phone and send fans back through the door.</t>
  </si>
  <si>
    <t xml:space="preserve">Cash; or license + pilot across 5 venues</t>
  </si>
  <si>
    <t xml:space="preserve">BusinessWire Nov 14 2025 (contacts; Langan title); RCI release Jan 2023 (60+ locations)</t>
  </si>
  <si>
    <t xml:space="preserve">IR contacts: yes</t>
  </si>
  <si>
    <t xml:space="preserve">A7</t>
  </si>
  <si>
    <t xml:space="preserve">The Clueless</t>
  </si>
  <si>
    <t xml:space="preserve">AI-model agency (creator of Aitana Lopez)</t>
  </si>
  <si>
    <t xml:space="preserve">Barcelona - ET+6</t>
  </si>
  <si>
    <t xml:space="preserve">Ruben Cruz</t>
  </si>
  <si>
    <t xml:space="preserve">Co-founder &amp; Creative Director</t>
  </si>
  <si>
    <t xml:space="preserve">Not published in sources checked</t>
  </si>
  <si>
    <t xml:space="preserve">theclueless.ai contact; LinkedIn</t>
  </si>
  <si>
    <t xml:space="preserve">Runs AI talent that already earns on Fanvue - an AI Models division needs exactly their roster, and owning the stage beats renting it.</t>
  </si>
  <si>
    <t xml:space="preserve">Aitana showed AI talent can build a real audience. We built the weekly stage where fans vote for it.</t>
  </si>
  <si>
    <t xml:space="preserve">Cash or equity swap</t>
  </si>
  <si>
    <t xml:space="preserve">EU GDPR B2B legitimate interest</t>
  </si>
  <si>
    <t xml:space="preserve">Wikipedia/Aitana Lopez; Reason.Why (Cruz title); press on Fanvue presence</t>
  </si>
  <si>
    <t xml:space="preserve">Name/title: yes</t>
  </si>
  <si>
    <t xml:space="preserve">A8</t>
  </si>
  <si>
    <t xml:space="preserve">Fansly</t>
  </si>
  <si>
    <t xml:space="preserve">Fan platform (bootstrapped)</t>
  </si>
  <si>
    <t xml:space="preserve">Baltimore, MD (Select Media LLC) / Cyprus (CY Media LTD) - ET</t>
  </si>
  <si>
    <t xml:space="preserve">Michael Etelis</t>
  </si>
  <si>
    <t xml:space="preserve">Founder / owner</t>
  </si>
  <si>
    <t xml:space="preserve">Maryland business registry (Select Media LLC address) for direct mail; LinkedIn; fansly.com business contact</t>
  </si>
  <si>
    <t xml:space="preserve">Competes on creator features - a weekly spotlight that sends fans to creators' pages is a feature they can ship next week.</t>
  </si>
  <si>
    <t xml:space="preserve">Fansly grew by giving creators a better home. This gives them a weekly spotlight that sends fans straight to their page.</t>
  </si>
  <si>
    <t xml:space="preserve">Cash acquisition</t>
  </si>
  <si>
    <t xml:space="preserve">Wikipedia/Fansly; MEL Magazine (ownership)</t>
  </si>
  <si>
    <t xml:space="preserve">Name: yes. Contact: not published</t>
  </si>
  <si>
    <t xml:space="preserve">A9</t>
  </si>
  <si>
    <t xml:space="preserve">ManyVids</t>
  </si>
  <si>
    <t xml:space="preserve">Creator platform</t>
  </si>
  <si>
    <t xml:space="preserve">Montreal - ET</t>
  </si>
  <si>
    <t xml:space="preserve">Bella French</t>
  </si>
  <si>
    <t xml:space="preserve">Co-founder (CEO title per Wikipedia infobox; verify current title)</t>
  </si>
  <si>
    <t xml:space="preserve">LinkedIn; corporate phone if published on their site</t>
  </si>
  <si>
    <t xml:space="preserve">Creator-first brand - a weekly fan-vote contest is an engagement feature that fits their residuals story.</t>
  </si>
  <si>
    <t xml:space="preserve">You built ManyVids around fair pay for creators. This adds a weekly fan vote that pays creators in attention.</t>
  </si>
  <si>
    <t xml:space="preserve">Canada CASL - NO cold email. LinkedIn or phone only</t>
  </si>
  <si>
    <t xml:space="preserve">Wikipedia/ManyVids</t>
  </si>
  <si>
    <t xml:space="preserve">Name: yes</t>
  </si>
  <si>
    <t xml:space="preserve">A10</t>
  </si>
  <si>
    <t xml:space="preserve">Acquire.Fi</t>
  </si>
  <si>
    <t xml:space="preserve">Web3 M&amp;A marketplace (venue + buyer network)</t>
  </si>
  <si>
    <t xml:space="preserve">Remote / BVI</t>
  </si>
  <si>
    <t xml:space="preserve">Nassim Bouslama; Jan Strandberg</t>
  </si>
  <si>
    <t xml:space="preserve">Co-founder &amp; CEO; Co-founder &amp; CTO</t>
  </si>
  <si>
    <t xml:space="preserve">Seller form on acquire.fi</t>
  </si>
  <si>
    <t xml:space="preserve">X @Acquire_Fi; LinkedIn</t>
  </si>
  <si>
    <t xml:space="preserve">Web3 buyers who want a working onchain product with apps, entity and distribution - not a whitepaper.</t>
  </si>
  <si>
    <t xml:space="preserve">Listed ask: $95K structured / $65K all-cash</t>
  </si>
  <si>
    <t xml:space="preserve">CoinDesk profile (founders); G2 (marketplace scope)</t>
  </si>
  <si>
    <t xml:space="preserve">Names: yes</t>
  </si>
  <si>
    <t xml:space="preserve">A11</t>
  </si>
  <si>
    <t xml:space="preserve">Louna's Models</t>
  </si>
  <si>
    <t xml:space="preserve">Agency - runs the Exclu Awards</t>
  </si>
  <si>
    <t xml:space="preserve">Los Angeles - ET-3</t>
  </si>
  <si>
    <t xml:space="preserve">Louna</t>
  </si>
  <si>
    <t xml:space="preserve">Founder</t>
  </si>
  <si>
    <t xml:space="preserve">Instagram DM</t>
  </si>
  <si>
    <t xml:space="preserve">Exclu Awards LA</t>
  </si>
  <si>
    <t xml:space="preserve">Owns an awards event - a TTS-powered fan-vote award category turns into ownership of the vote itself.</t>
  </si>
  <si>
    <t xml:space="preserve">Exclu Awards is the closest thing to what we run every week - except our vote is onchain.</t>
  </si>
  <si>
    <t xml:space="preserve">Cash + partnership</t>
  </si>
  <si>
    <t xml:space="preserve">Sept 19 workbook</t>
  </si>
  <si>
    <t xml:space="preserve">A12</t>
  </si>
  <si>
    <t xml:space="preserve">Upbrand</t>
  </si>
  <si>
    <t xml:space="preserve">Agency (Australia)</t>
  </si>
  <si>
    <t xml:space="preserve">Australia - ET+14 (ET+15 after Oct 4)</t>
  </si>
  <si>
    <t xml:space="preserve">Tony Izzet</t>
  </si>
  <si>
    <t xml:space="preserve">Instagram @tonyizzet</t>
  </si>
  <si>
    <t xml:space="preserve">Capacity-constrained ('all spots filled') - a self-running engine adds revenue without headcount.</t>
  </si>
  <si>
    <t xml:space="preserve">Your bio says every spot is filled. This adds revenue per creator without adding a single hire.</t>
  </si>
  <si>
    <t xml:space="preserve">Australia Spam Act</t>
  </si>
  <si>
    <t xml:space="preserve">Sept 19 workbook (Instagram)</t>
  </si>
  <si>
    <t xml:space="preserve">A13</t>
  </si>
  <si>
    <t xml:space="preserve">SheX Agency</t>
  </si>
  <si>
    <t xml:space="preserve">Agency (DACH, multi-platform)</t>
  </si>
  <si>
    <t xml:space="preserve">Germany - ET+6</t>
  </si>
  <si>
    <t xml:space="preserve">Named in the Impressum (verify at she-x.de/impressum)</t>
  </si>
  <si>
    <t xml:space="preserve">Geschaeftsfuehrer</t>
  </si>
  <si>
    <t xml:space="preserve">Impressum email (legally required - Claude Code verifies before sending)</t>
  </si>
  <si>
    <t xml:space="preserve">Instagram @onlyfans_agentur</t>
  </si>
  <si>
    <t xml:space="preserve">Runs creators across several platforms, so off-platform promotion is already their model.</t>
  </si>
  <si>
    <t xml:space="preserve">You already run creators across five platforms - this is the one that brings fans to all of them.</t>
  </si>
  <si>
    <t xml:space="preserve">EU GDPR B2B</t>
  </si>
  <si>
    <t xml:space="preserve">Sept 19 workbook (Trustpilot, Instagram)</t>
  </si>
  <si>
    <t xml:space="preserve">Route: yes</t>
  </si>
  <si>
    <t xml:space="preserve">Tier 1 count</t>
  </si>
  <si>
    <t xml:space="preserve">Tier 2 count</t>
  </si>
  <si>
    <t xml:space="preserve">Structure note: list the full package at $95K structured (cash + earn-out) or $65K all-cash. The gap nudges buyers toward structure. Never lead with token price. Your private floor stays off every document.</t>
  </si>
  <si>
    <t xml:space="preserve">Acquirer ID</t>
  </si>
  <si>
    <t xml:space="preserve">Channel</t>
  </si>
  <si>
    <t xml:space="preserve">Action</t>
  </si>
  <si>
    <t xml:space="preserve">Script (Scripts tab)</t>
  </si>
  <si>
    <t xml:space="preserve">03:05</t>
  </si>
  <si>
    <t xml:space="preserve">Email (auto)</t>
  </si>
  <si>
    <t xml:space="preserve">Email 1 to the verified Impressum address (9:05 Berlin)</t>
  </si>
  <si>
    <t xml:space="preserve">Email 1 - acquirer</t>
  </si>
  <si>
    <t xml:space="preserve">Email 1 to office@aroaagency.com</t>
  </si>
  <si>
    <t xml:space="preserve">Email 1 to gfishman@pondel.com + mwichman@pondel.com</t>
  </si>
  <si>
    <t xml:space="preserve">Listing form</t>
  </si>
  <si>
    <t xml:space="preserve">Submit the Acquire.Fi seller form</t>
  </si>
  <si>
    <t xml:space="preserve">Web form</t>
  </si>
  <si>
    <t xml:space="preserve">Email 1 + Fanvue hook via fanvue.com business contact</t>
  </si>
  <si>
    <t xml:space="preserve">Email 1 via creatorsinc.com/contact</t>
  </si>
  <si>
    <t xml:space="preserve">Email 1 via infloww.com contact</t>
  </si>
  <si>
    <t xml:space="preserve">Email 1 via theclueless.ai</t>
  </si>
  <si>
    <t xml:space="preserve">LinkedIn</t>
  </si>
  <si>
    <t xml:space="preserve">Connect note to Monange, Fitzgerald, Morris</t>
  </si>
  <si>
    <t xml:space="preserve">LinkedIn connection note</t>
  </si>
  <si>
    <t xml:space="preserve">Connect note to Andy Bachman</t>
  </si>
  <si>
    <t xml:space="preserve">Connect note to directors found on Companies House</t>
  </si>
  <si>
    <t xml:space="preserve">Connect note to Eric Langan</t>
  </si>
  <si>
    <t xml:space="preserve">Connect note to Ruben Cruz</t>
  </si>
  <si>
    <t xml:space="preserve">Connect note to Michael Etelis</t>
  </si>
  <si>
    <t xml:space="preserve">Connect note to Bella French (no cold email - CASL)</t>
  </si>
  <si>
    <t xml:space="preserve">X</t>
  </si>
  <si>
    <t xml:space="preserve">DM @Acquire_Fi with the one-pager link</t>
  </si>
  <si>
    <t xml:space="preserve">DM</t>
  </si>
  <si>
    <t xml:space="preserve">Instagram</t>
  </si>
  <si>
    <t xml:space="preserve">DM Louna - award-category + ownership angle</t>
  </si>
  <si>
    <t xml:space="preserve">DM @tonyizzet</t>
  </si>
  <si>
    <t xml:space="preserve">DM @creatorsinc + Bachman (podcast-guest + acquisition angle)</t>
  </si>
  <si>
    <t xml:space="preserve">Telegram</t>
  </si>
  <si>
    <t xml:space="preserve">DM t.me/supercreator_app + book the consultation Calendly</t>
  </si>
  <si>
    <t xml:space="preserve">Email 1 via fansly.com business contact</t>
  </si>
  <si>
    <t xml:space="preserve">Nudge on t.me/aroaagency1 + Loom</t>
  </si>
  <si>
    <t xml:space="preserve">Email 2</t>
  </si>
  <si>
    <t xml:space="preserve">Email 2 - proof</t>
  </si>
  <si>
    <t xml:space="preserve">Email 2 (proof + data room)</t>
  </si>
  <si>
    <t xml:space="preserve">Email 2 (proof + data room) to accepted connections</t>
  </si>
  <si>
    <t xml:space="preserve">Email / X</t>
  </si>
  <si>
    <t xml:space="preserve">Follow-up with Loom + audit status</t>
  </si>
  <si>
    <t xml:space="preserve">IG / LinkedIn</t>
  </si>
  <si>
    <t xml:space="preserve">Email 2 content (proof + data room)</t>
  </si>
  <si>
    <t xml:space="preserve">Email 2 content via message</t>
  </si>
  <si>
    <t xml:space="preserve">Proof DM with Loom</t>
  </si>
  <si>
    <t xml:space="preserve">Phone</t>
  </si>
  <si>
    <t xml:space="preserve">Call IR at 212-883-0655 - ask who evaluates digital deals</t>
  </si>
  <si>
    <t xml:space="preserve">Call opener</t>
  </si>
  <si>
    <t xml:space="preserve">Visit (optional)</t>
  </si>
  <si>
    <t xml:space="preserve">Rick's Cabaret New York - GM demo + corporate intro</t>
  </si>
  <si>
    <t xml:space="preserve">Club visit</t>
  </si>
  <si>
    <t xml:space="preserve">Email 3</t>
  </si>
  <si>
    <t xml:space="preserve">Email 3 - offer date</t>
  </si>
  <si>
    <t xml:space="preserve">Email 3 - offers reviewed Oct 16</t>
  </si>
  <si>
    <t xml:space="preserve">Offers reviewed Oct 16</t>
  </si>
  <si>
    <t xml:space="preserve">Last call (if engaged)</t>
  </si>
  <si>
    <t xml:space="preserve">Script</t>
  </si>
  <si>
    <t xml:space="preserve">Text (fill {{FirstName}}, {{Company}}, {{Hook}} from the Acquirers tab)</t>
  </si>
  <si>
    <t xml:space="preserve">Email 1 - acquirer (Oct 1)</t>
  </si>
  <si>
    <t xml:space="preserve">Subject A: Acquisition: a working onchain fan-voting platform
Subject B: {{Company}} + a weekly fan-vote engine you could own
Hi {{FirstName}},
{{Hook}}
I'm Jim Goetz, founder of Temptation Token. We built a complete weekly fan-voting platform on Base: fans vote for creators, winners receive onchain trophies, and every creator's profile sends voters straight to her link hub.
Working today:
- Web app, Android app, Telegram bot
- Face ID sign-up with gas-free wallets; card purchases through Transak
- Weekly rounds that settle themselves onchain - every vote and winner publicly verifiable
- Club self-serve onboarding, referral engine, automated social posting
- A disclosed AI Models division alongside verified creators
- Contracts behind a 2-of-2 multisig and 48-hour timelock; [AUDIT_STATUS]
- Delaware entity, domains, brand, and an SEO site that publishes automatically
My other companies need my full attention, so Temptation Token needs a full-time owner. We're reviewing offers on Friday, October 16. If owning it makes sense for {{Company}}, I'll open the data room under NDA - 20 minutes is enough to see it live: calendly.com/temptationtoken/phone-meeting
Jim Goetz
Founder, Temptation Token - Blockchain Entertainment LLC
jim@temptationtoken.io</t>
  </si>
  <si>
    <t xml:space="preserve">Email 2 - proof (Oct 6)</t>
  </si>
  <si>
    <t xml:space="preserve">Subject: 2-minute walkthrough + data room - Temptation Token
{{FirstName}} - here's the platform running live: [LOOM_URL]
New since last week: [SHIPPED_THIS_WEEK - e.g. card purchases live, deeper liquidity, audit underway, Round # settled]
The data room covers contracts, round history, metrics, architecture, monthly running cost, and the transfer runbook. Reply 'NDA' and I'll send it today. Offers are reviewed Friday, October 16.
Jim</t>
  </si>
  <si>
    <t xml:space="preserve">Email 3 - offer date (Oct 12)</t>
  </si>
  <si>
    <t xml:space="preserve">Subject: Offers reviewed Friday - Temptation Token
{{FirstName}} - a quick note that we're reviewing offers this Friday, October 16 at 5 PM ET. Cash, cash plus earn-out, and partnership structures are all on the table. If a 20-minute look would help before then: calendly.com/temptationtoken/phone-meeting
Jim</t>
  </si>
  <si>
    <t xml:space="preserve">LinkedIn connection note (300 chars max)</t>
  </si>
  <si>
    <t xml:space="preserve">Jim Goetz, founder of Temptation Token - a working onchain fan-voting platform (web, Android, Telegram). We're reviewing acquisition offers Oct 16 and {{Company}} is a natural fit. Worth a 20-minute look?</t>
  </si>
  <si>
    <t xml:space="preserve">DM - Instagram / X / Telegram</t>
  </si>
  <si>
    <t xml:space="preserve">{{FirstName}} - Jim Goetz, founder of Temptation Token. We built a weekly onchain fan vote: creators get a spotlight, fans vote, winners get trophies, and every profile sends fans to the creator's page. We're selling it to an owner with a roster - {{Company}} fits. Can I send the 2-minute walkthrough?</t>
  </si>
  <si>
    <t xml:space="preserve">Call opener - RCI investor relations (Oct 7)</t>
  </si>
  <si>
    <t xml:space="preserve">Hi Gary, Jim Goetz, founder of Temptation Token. I emailed you and Michael last week. We're selling a turnkey fan-engagement platform with a self-serve club program - any venue can run its own weekly fan vote from a phone. Who at RCI looks at digital partnerships or acquisitions? I'd like to get them a 20-minute demo before we review offers on the 16th.</t>
  </si>
  <si>
    <t xml:space="preserve">Voicemail (20 seconds)</t>
  </si>
  <si>
    <t xml:space="preserve">Hi, it's Jim Goetz with Temptation Token - I sent a note about a weekly fan-vote platform we're selling to an owner with a roster or venues. The two-minute walkthrough is in your inbox; my email is jim@temptationtoken.io. We're reviewing offers October 16. Thanks.</t>
  </si>
  <si>
    <t xml:space="preserve">Club visit (60 seconds)</t>
  </si>
  <si>
    <t xml:space="preserve">Hi, I'm Jim Goetz with Temptation Token. We run a weekly fan vote for entertainers - your club can join from a phone in about two minutes, and it sends fans back through your door. Can I show you on my phone? [Scan the /clubs QR together.]</t>
  </si>
  <si>
    <t xml:space="preserve">Placeholders</t>
  </si>
  <si>
    <t xml:space="preserve">[AUDIT_STATUS] = 'SolidProof audit pinned to the live contracts' once published, else 'SolidProof audit underway'. [LOOM_URL] = your demo link. [SHIPPED_THIS_WEEK] = Claude Code fills from live data. Never state a prize-pool dollar figure or token price.</t>
  </si>
  <si>
    <t xml:space="preserve">What a buyer might ask about</t>
  </si>
  <si>
    <t xml:space="preserve">The strength (every line true under diligence)</t>
  </si>
  <si>
    <t xml:space="preserve">Proof to show</t>
  </si>
  <si>
    <t xml:space="preserve">No revenue yet</t>
  </si>
  <si>
    <t xml:space="preserve">Clean slate: no legacy customers, refunds or churn. The buyer sets monetization from day one - sponsored rounds, featured slots, card on-ramp partner fees.</t>
  </si>
  <si>
    <t xml:space="preserve">Revenue-lever sheet in the data room</t>
  </si>
  <si>
    <t xml:space="preserve">Thin liquidity / Blockaid 'spam' label</t>
  </si>
  <si>
    <t xml:space="preserve">Treasury-controlled liquidity: the buyer sets the token economics. The label is liquidity-driven, not code-driven, and the single-sided position now deepens buy-side depth with zero cash outlay.</t>
  </si>
  <si>
    <t xml:space="preserve">Before/after price-impact table; Blockaid verdict email</t>
  </si>
  <si>
    <t xml:space="preserve">Placeholder profiles</t>
  </si>
  <si>
    <t xml:space="preserve">AI Models division: always-on demo content plus a disclosed AI category - the category Fanvue built its growth on with the Miss AI pageant.</t>
  </si>
  <si>
    <t xml:space="preserve">Board screenshots; rotation log</t>
  </si>
  <si>
    <t xml:space="preserve">No iOS App Store listing</t>
  </si>
  <si>
    <t xml:space="preserve">iPhone users are served through the web app and the Telegram Mini App path - no Apple review gate and no 30% commission. A TestFlight build is included for any buyer who wants a native route.</t>
  </si>
  <si>
    <t xml:space="preserve">PWA install guide; TestFlight build</t>
  </si>
  <si>
    <t xml:space="preserve">Chainlink automation stalled three times</t>
  </si>
  <si>
    <t xml:space="preserve">Self-healing settlement: the keeper autopilot settles rounds automatically while Chainlink VRF supplies verifiable randomness - redundancy a buyer doesn't have to build.</t>
  </si>
  <si>
    <t xml:space="preserve">Basescan links for consecutive autopilot settlements</t>
  </si>
  <si>
    <t xml:space="preserve">Old audit didn't match the deployed code</t>
  </si>
  <si>
    <t xml:space="preserve">A fresh SolidProof audit pinned to the live contract addresses - the report a buyer reads is the code that runs.</t>
  </si>
  <si>
    <t xml:space="preserve">Report on /audit with addresses</t>
  </si>
  <si>
    <t xml:space="preserve">Admin controls exist on the token</t>
  </si>
  <si>
    <t xml:space="preserve">2-of-2 multisig plus a 48-hour timelock: no single person can change anything, and every admin action is public 48 hours before it executes. Upgradeable, so the buyer can harden or extend.</t>
  </si>
  <si>
    <t xml:space="preserve">Timelock address; role map</t>
  </si>
  <si>
    <t xml:space="preserve">Main X account locked</t>
  </si>
  <si>
    <t xml:space="preserve">Telegram-first community with a native bot, plus the automated Social Composer ready for any handle the buyer runs.</t>
  </si>
  <si>
    <t xml:space="preserve">Composer logs; Telegram stats</t>
  </si>
  <si>
    <t xml:space="preserve">Small user base</t>
  </si>
  <si>
    <t xml:space="preserve">Every vote, winner and trophy is publicly verifiable onchain - traction a buyer can audit themselves, not screenshots.</t>
  </si>
  <si>
    <t xml:space="preserve">Round history export</t>
  </si>
  <si>
    <t xml:space="preserve">Founder is part-time</t>
  </si>
  <si>
    <t xml:space="preserve">Runs on automation: settlement autopilot, Social Composer, outreach engine, weekly AI rotation, daily digest. Documented for AI-assisted maintenance (CLAUDE.md).</t>
  </si>
  <si>
    <t xml:space="preserve">Ops runbook; cost sheet</t>
  </si>
  <si>
    <t xml:space="preserve">Adult-adjacent</t>
  </si>
  <si>
    <t xml:space="preserve">Brand-safe SFW public face with a direct channel into the creator-agency market - fits mainstream marketplaces and adult-industry strategic buyers alike.</t>
  </si>
  <si>
    <t xml:space="preserve">Site + agency pipeline</t>
  </si>
  <si>
    <t xml:space="preserve">Card purchases weren't live</t>
  </si>
  <si>
    <t xml:space="preserve">Card on-ramp integrated with Transak on a verified business account, now live with deepened liquidity.</t>
  </si>
  <si>
    <t xml:space="preserve">Production test receipt</t>
  </si>
  <si>
    <t xml:space="preserve">Legal questions</t>
  </si>
  <si>
    <t xml:space="preserve">Legal review complete; free signup tokens and a free first vote built in.</t>
  </si>
  <si>
    <t xml:space="preserve">Counsel sign-off letter</t>
  </si>
  <si>
    <t xml:space="preserve">Token has no market price</t>
  </si>
  <si>
    <t xml:space="preserve">Priced on the engine and distribution, not a chart - the buyer's price doesn't move with the market.</t>
  </si>
  <si>
    <t xml:space="preserve">One-pager asset list</t>
  </si>
  <si>
    <t xml:space="preserve">Google Play requires a closed test</t>
  </si>
  <si>
    <t xml:space="preserve">Native Android distribution in progress: APK live now, Play listing through Google's quality gate.</t>
  </si>
  <si>
    <t xml:space="preserve">Play Console status</t>
  </si>
  <si>
    <t xml:space="preserve">The mechanic is copyable</t>
  </si>
  <si>
    <t xml:space="preserve">Time-to-market: build, deployment, apps, entity, audit and distribution groundwork are done - a buyer skips 6-9 months.</t>
  </si>
  <si>
    <t xml:space="preserve">Build timeline</t>
  </si>
  <si>
    <t xml:space="preserve">Venue</t>
  </si>
  <si>
    <t xml:space="preserve">What it is</t>
  </si>
  <si>
    <t xml:space="preserve">Role in this sale</t>
  </si>
  <si>
    <t xml:space="preserve">Seller cost</t>
  </si>
  <si>
    <t xml:space="preserve">Timing</t>
  </si>
  <si>
    <t xml:space="preserve">Site</t>
  </si>
  <si>
    <t xml:space="preserve">Web3 M&amp;A marketplace for crypto-native businesses</t>
  </si>
  <si>
    <t xml:space="preserve">Primary venue</t>
  </si>
  <si>
    <t xml:space="preserve">Seller form; selective acceptance</t>
  </si>
  <si>
    <t xml:space="preserve">Submit Oct 1</t>
  </si>
  <si>
    <t xml:space="preserve">acquire.fi</t>
  </si>
  <si>
    <t xml:space="preserve">SideProjectors</t>
  </si>
  <si>
    <t xml:space="preserve">Free listing, no commission, no escrow</t>
  </si>
  <si>
    <t xml:space="preserve">Secondary - fast</t>
  </si>
  <si>
    <t xml:space="preserve">Free / 0%</t>
  </si>
  <si>
    <t xml:space="preserve">sideprojectors.com</t>
  </si>
  <si>
    <t xml:space="preserve">IndieMaker</t>
  </si>
  <si>
    <t xml:space="preserve">Accepts pre-revenue</t>
  </si>
  <si>
    <t xml:space="preserve">Secondary</t>
  </si>
  <si>
    <t xml:space="preserve">3% on pre-revenue (per July 2026 comparison)</t>
  </si>
  <si>
    <t xml:space="preserve">indiemaker.co</t>
  </si>
  <si>
    <t xml:space="preserve">ExitBid</t>
  </si>
  <si>
    <t xml:space="preserve">5-day auction format</t>
  </si>
  <si>
    <t xml:space="preserve">Optional - price discovery</t>
  </si>
  <si>
    <t xml:space="preserve">$199 flat, 0% (their own comparison - verify)</t>
  </si>
  <si>
    <t xml:space="preserve">Optional</t>
  </si>
  <si>
    <t xml:space="preserve">exitbid.io</t>
  </si>
  <si>
    <t xml:space="preserve">Flippa</t>
  </si>
  <si>
    <t xml:space="preserve">Largest general marketplace</t>
  </si>
  <si>
    <t xml:space="preserve">Only with SFW engine framing + agency pilot disclosed, after Flippa confirms eligibility</t>
  </si>
  <si>
    <t xml:space="preserve">$49-$499 listing + 5-10%</t>
  </si>
  <si>
    <t xml:space="preserve">Ask support first</t>
  </si>
  <si>
    <t xml:space="preserve">flippa.com</t>
  </si>
  <si>
    <t xml:space="preserve">Acquire.com</t>
  </si>
  <si>
    <t xml:space="preserve">Curated startup marketplace</t>
  </si>
  <si>
    <t xml:space="preserve">After first revenue (pre-revenue only for SaaS/AI)</t>
  </si>
  <si>
    <t xml:space="preserve">Monthly listing fee + closing commission</t>
  </si>
  <si>
    <t xml:space="preserve">Later</t>
  </si>
  <si>
    <t xml:space="preserve">acquire.com</t>
  </si>
  <si>
    <t xml:space="preserve">Microns</t>
  </si>
  <si>
    <t xml:space="preserve">Profitable micro-startups</t>
  </si>
  <si>
    <t xml:space="preserve">Skip (pre-revenue declined)</t>
  </si>
  <si>
    <t xml:space="preserve">6-10% success fee</t>
  </si>
  <si>
    <t xml:space="preserve">Skip</t>
  </si>
  <si>
    <t xml:space="preserve">microns.io</t>
  </si>
  <si>
    <t xml:space="preserve">Direct outreach</t>
  </si>
  <si>
    <t xml:space="preserve">Acquirers tab - the real buyers</t>
  </si>
  <si>
    <t xml:space="preserve">Primary</t>
  </si>
  <si>
    <t xml:space="preserve">0%</t>
  </si>
  <si>
    <t xml:space="preserve">Oct 1 launch</t>
  </si>
  <si>
    <t xml:space="preserve">r/SideProject, r/SaaSforSale</t>
  </si>
  <si>
    <t xml:space="preserve">Communities</t>
  </si>
  <si>
    <t xml:space="preserve">Check each sub's rules</t>
  </si>
  <si>
    <t xml:space="preserve">Free</t>
  </si>
  <si>
    <t xml:space="preserve">Oct 1 if allowed</t>
  </si>
  <si>
    <t xml:space="preserve">reddit.com</t>
  </si>
  <si>
    <t xml:space="preserve">Base ecosystem</t>
  </si>
  <si>
    <t xml:space="preserve">base.dev registration + builder channels</t>
  </si>
  <si>
    <t xml:space="preserve">Visibility with Web3 builders</t>
  </si>
  <si>
    <t xml:space="preserve">Sep 29</t>
  </si>
  <si>
    <t xml:space="preserve">base.dev</t>
  </si>
  <si>
    <t xml:space="preserve">Notes: Flippa's rules exclude adult businesses including OnlyFans-supporting ones and bar selling accounts on other platforms — use it only if Flippa confirms eligibility for the SFW engine framing with the agency pilot disclosed. Acquire.com accepts pre-revenue listings only for functional SaaS/AI products. Fee figures for IndieMaker/ExitBid/SideProjectors/Flippa come from a July 2026 comparison written by ExitBid — verify on each site.</t>
  </si>
  <si>
    <t xml:space="preserve">Plan</t>
  </si>
  <si>
    <t xml:space="preserve">Why it's a strength</t>
  </si>
  <si>
    <t xml:space="preserve">Android - APK</t>
  </si>
  <si>
    <t xml:space="preserve">Live now: direct download link on the homepage</t>
  </si>
  <si>
    <t xml:space="preserve">Done / keep</t>
  </si>
  <si>
    <t xml:space="preserve">Buyers can install it today</t>
  </si>
  <si>
    <t xml:space="preserve">Android - Google Play</t>
  </si>
  <si>
    <t xml:space="preserve">Personal account: 14-day closed test with 12+ testers, then apply for production. Organization account: submit now. Listing copy: 'vote for your favorites, win trophies' - declare tokenized assets, no earnings hype.</t>
  </si>
  <si>
    <t xml:space="preserve">Start Sep 25</t>
  </si>
  <si>
    <t xml:space="preserve">Live around mid-October if the test starts Sep 25</t>
  </si>
  <si>
    <t xml:space="preserve">iPhone - web app (PWA)</t>
  </si>
  <si>
    <t xml:space="preserve">Add-to-Home-Screen install guide on the site; full app experience with no store gate</t>
  </si>
  <si>
    <t xml:space="preserve">Sep 26 site rebuild</t>
  </si>
  <si>
    <t xml:space="preserve">No Apple review, no 30% fee</t>
  </si>
  <si>
    <t xml:space="preserve">iPhone - Telegram Mini App</t>
  </si>
  <si>
    <t xml:space="preserve">@TemptationTokenBot opens app.temptationtoken.io inside Telegram</t>
  </si>
  <si>
    <t xml:space="preserve">Existing path</t>
  </si>
  <si>
    <t xml:space="preserve">Crypto-native users stay in Telegram</t>
  </si>
  <si>
    <t xml:space="preserve">iOS - App Store</t>
  </si>
  <si>
    <t xml:space="preserve">No submission: Apple's guideline 1.2 names 'hot-or-not' voting on real people as not belonging on the App Store. The TestFlight build transfers with the sale for a buyer who wants to pursue a native route.</t>
  </si>
  <si>
    <t xml:space="preserve">Not submitting</t>
  </si>
  <si>
    <t xml:space="preserve">Keeps the listing asset clean of a rejection record</t>
  </si>
  <si>
    <t xml:space="preserve">SolidProof readiness — what a SolidProof-style report is expected to flag, and how each is answered before the audit starts</t>
  </si>
  <si>
    <t xml:space="preserve">Contract</t>
  </si>
  <si>
    <t xml:space="preserve">Expected finding</t>
  </si>
  <si>
    <t xml:space="preserve">Typical category</t>
  </si>
  <si>
    <t xml:space="preserve">Mitigation before submission</t>
  </si>
  <si>
    <t xml:space="preserve">Token</t>
  </si>
  <si>
    <t xml:space="preserve">Admin can grant pause / mint / blacklist roles (latent capability; zero members today)</t>
  </si>
  <si>
    <t xml:space="preserve">Centralization finding</t>
  </si>
  <si>
    <t xml:space="preserve">48-hour timelock on admin; document zero members; optional hardening upgrade</t>
  </si>
  <si>
    <t xml:space="preserve">Upgradeable implementation (UPGRADER role)</t>
  </si>
  <si>
    <t xml:space="preserve">Timelock + multisig; publish upgrade policy</t>
  </si>
  <si>
    <t xml:space="preserve">1% transfer tax + tax-exemption control</t>
  </si>
  <si>
    <t xml:space="preserve">Owner-privilege finding</t>
  </si>
  <si>
    <t xml:space="preserve">Timelock; document the pools that are exempt and why</t>
  </si>
  <si>
    <t xml:space="preserve">TTSVotingV3d</t>
  </si>
  <si>
    <t xml:space="preserve">Privileged settlement fallback used by the keeper autopilot</t>
  </si>
  <si>
    <t xml:space="preserve">Centralization / informational</t>
  </si>
  <si>
    <t xml:space="preserve">Timelock or scoped emergency role; publish the settlement log</t>
  </si>
  <si>
    <t xml:space="preserve">Chainlink VRF subscription must stay funded</t>
  </si>
  <si>
    <t xml:space="preserve">Informational</t>
  </si>
  <si>
    <t xml:space="preserve">Auto-funder with reserve floor; balance in the data room</t>
  </si>
  <si>
    <t xml:space="preserve">Staking proxy</t>
  </si>
  <si>
    <t xml:space="preserve">Upgradeable; reward parameters</t>
  </si>
  <si>
    <t xml:space="preserve">Timelock</t>
  </si>
  <si>
    <t xml:space="preserve">Trophy NFT</t>
  </si>
  <si>
    <t xml:space="preserve">Minter role</t>
  </si>
  <si>
    <t xml:space="preserve">Low / informational</t>
  </si>
  <si>
    <t xml:space="preserve">Role held by the voting contract only; document</t>
  </si>
  <si>
    <t xml:space="preserve">All</t>
  </si>
  <si>
    <t xml:space="preserve">Automated scan (Slither + Aderyn) before submission</t>
  </si>
  <si>
    <t xml:space="preserve">Fix anything above informational before SolidProof starts</t>
  </si>
  <si>
    <t xml:space="preserve">Audit budget reference (2026 market)</t>
  </si>
  <si>
    <t xml:space="preserve">Simple token / NFT</t>
  </si>
  <si>
    <t xml:space="preserve">$1,000-$10,000 · 2-8 days</t>
  </si>
  <si>
    <t xml:space="preserve">Staking / governance / NFT systems</t>
  </si>
  <si>
    <t xml:space="preserve">$5,000-$20,000 · 1-3 weeks</t>
  </si>
  <si>
    <t xml:space="preserve">Rush turnaround</t>
  </si>
  <si>
    <t xml:space="preserve">+20-50%</t>
  </si>
  <si>
    <t xml:space="preserve">Source: QuillAudits, 'Smart Contract Audit Cost 2026' (market ranges). Get SolidProof's own quote — phase 1 = token + TTSVotingV3d.</t>
  </si>
  <si>
    <t xml:space="preserve">Liquidity + card on-ramp plan (no cash outlay for buy-side depth)</t>
  </si>
  <si>
    <t xml:space="preserve">Step</t>
  </si>
  <si>
    <t xml:space="preserve">Who signs / runs</t>
  </si>
  <si>
    <t xml:space="preserve">Gate</t>
  </si>
  <si>
    <t xml:space="preserve">1</t>
  </si>
  <si>
    <t xml:space="preserve">Read live V2 pool reserves; compute price impact for $30 / $50 / $100 / $250 / $500 card-sized buys</t>
  </si>
  <si>
    <t xml:space="preserve">Read-only</t>
  </si>
  <si>
    <t xml:space="preserve">2</t>
  </si>
  <si>
    <t xml:space="preserve">Create a concentrated-liquidity pool (Uniswap v3, or Aerodrome Slipstream if the fork test prefers it) initialized at the current price</t>
  </si>
  <si>
    <t xml:space="preserve">Claude Code builds; Safe signs</t>
  </si>
  <si>
    <t xml:space="preserve">Fork-tested first</t>
  </si>
  <si>
    <t xml:space="preserve">3</t>
  </si>
  <si>
    <t xml:space="preserve">setTaxExempt(new pool) so the 1% transfer tax doesn't break concentrated-pool accounting</t>
  </si>
  <si>
    <t xml:space="preserve">Safe (DEFAULT_ADMIN)</t>
  </si>
  <si>
    <t xml:space="preserve">Must happen before the timelock move</t>
  </si>
  <si>
    <t xml:space="preserve">4</t>
  </si>
  <si>
    <t xml:space="preserve">Add Treasury TTS single-sided in a range above the current price - buy-side depth with zero cash</t>
  </si>
  <si>
    <t xml:space="preserve">Safe</t>
  </si>
  <si>
    <t xml:space="preserve">Treasury wallet only; Founder/Team untouched</t>
  </si>
  <si>
    <t xml:space="preserve">5</t>
  </si>
  <si>
    <t xml:space="preserve">App swap routing: quote V2 + new pool, route the better price; keep the 5% impact guard</t>
  </si>
  <si>
    <t xml:space="preserve">Deploy after the fork test passes</t>
  </si>
  <si>
    <t xml:space="preserve">6</t>
  </si>
  <si>
    <t xml:space="preserve">Recover ~44 LINK from the retired upkeep (cancel, wait, withdraw) once autopilot shows 3+ clean settlements</t>
  </si>
  <si>
    <t xml:space="preserve">Owner of the upkeep signs</t>
  </si>
  <si>
    <t xml:space="preserve">Top up VRF to 25+ LINK first</t>
  </si>
  <si>
    <t xml:space="preserve">7</t>
  </si>
  <si>
    <t xml:space="preserve">Swap the remaining LINK to ETH; pair with Treasury TTS in V2 for sell-side depth</t>
  </si>
  <si>
    <t xml:space="preserve">Safe or Bank per ownership</t>
  </si>
  <si>
    <t xml:space="preserve">Creators can cash out smoothly</t>
  </si>
  <si>
    <t xml:space="preserve">8</t>
  </si>
  <si>
    <t xml:space="preserve">Transak production key into Vercel; card tab on; $30 live test on Jim's phone</t>
  </si>
  <si>
    <t xml:space="preserve">Jim + Claude Code</t>
  </si>
  <si>
    <t xml:space="preserve">Business verification already done</t>
  </si>
  <si>
    <t xml:space="preserve">9</t>
  </si>
  <si>
    <t xml:space="preserve">Recompute impact; screenshot before/after for the data room; recheck Blockaid after 7 stable days</t>
  </si>
  <si>
    <t xml:space="preserve">Evidence for the Strengths tab</t>
  </si>
  <si>
    <t xml:space="preserve">#</t>
  </si>
  <si>
    <t xml:space="preserve">Item</t>
  </si>
  <si>
    <t xml:space="preserve">Location / link</t>
  </si>
  <si>
    <t xml:space="preserve">One-pager (asset list, what's live, offer date)</t>
  </si>
  <si>
    <t xml:space="preserve">2-3 minute Loom demo</t>
  </si>
  <si>
    <t xml:space="preserve">Contract list with Basescan links (token, TTSVotingV3d, staking proxy, Trophy NFT, timelock, Safe)</t>
  </si>
  <si>
    <t xml:space="preserve">SolidProof report pinned to live addresses (or engagement letter + expected date)</t>
  </si>
  <si>
    <t xml:space="preserve">Round history export (every round: votes, winner, settlement tx, who settled)</t>
  </si>
  <si>
    <t xml:space="preserve">Metrics snapshot (creators, voters, votes, signups, card buys, pool depth) - real numbers only</t>
  </si>
  <si>
    <t xml:space="preserve">Architecture doc + CLAUDE.md operating manual</t>
  </si>
  <si>
    <t xml:space="preserve">Monthly running cost sheet (Vercel, Railway, Supabase, LINK, paymaster, hosting, email)</t>
  </si>
  <si>
    <t xml:space="preserve">Transfer runbook (Closing tab)</t>
  </si>
  <si>
    <t xml:space="preserve">Entity pack: Delaware certificate, EIN letter, operating agreement, member consent</t>
  </si>
  <si>
    <t xml:space="preserve">IP assignment (Jim to Blockchain Entertainment LLC)</t>
  </si>
  <si>
    <t xml:space="preserve">Strengths memo (Strengths tab, with the proof for each line)</t>
  </si>
  <si>
    <t xml:space="preserve">Store status (APK, Play, PWA, TestFlight)</t>
  </si>
  <si>
    <t xml:space="preserve">Site + SEO: Search Console / Bing data, indexed pages, AnswerPress content library</t>
  </si>
  <si>
    <t xml:space="preserve">Member consent (Mike) — must say: (1) he consents to the sale of Blockchain Entertainment LLC's assets or of the LLC itself; (2) he will sign the Safe owner change and role transfers at close; (3) proceeds split per the operating agreement. Have the lawyer finalize.</t>
  </si>
  <si>
    <t xml:space="preserve">Asset</t>
  </si>
  <si>
    <t xml:space="preserve">How it transfers</t>
  </si>
  <si>
    <t xml:space="preserve">Where</t>
  </si>
  <si>
    <t xml:space="preserve">Add the buyer's signers, remove Jim's and Mike's (both sign)</t>
  </si>
  <si>
    <t xml:space="preserve">Onchain</t>
  </si>
  <si>
    <t xml:space="preserve">Contract roles</t>
  </si>
  <si>
    <t xml:space="preserve">Move admin/upgrader to the buyer's Safe or timelock</t>
  </si>
  <si>
    <t xml:space="preserve">Treasury + ecosystem tokens</t>
  </si>
  <si>
    <t xml:space="preserve">Send to wallets the buyer generates</t>
  </si>
  <si>
    <t xml:space="preserve">LP positions</t>
  </si>
  <si>
    <t xml:space="preserve">Transfer the position NFT / LP tokens (and any lock) to the buyer</t>
  </si>
  <si>
    <t xml:space="preserve">Chainlink VRF subscription</t>
  </si>
  <si>
    <t xml:space="preserve">Request + accept subscription owner transfer</t>
  </si>
  <si>
    <t xml:space="preserve">Keeper autopilot / Bank wallet</t>
  </si>
  <si>
    <t xml:space="preserve">Buyer deploys a new Bank key; move balances; revoke old</t>
  </si>
  <si>
    <t xml:space="preserve">Onchain + Railway</t>
  </si>
  <si>
    <t xml:space="preserve">Domains</t>
  </si>
  <si>
    <t xml:space="preserve">temptationtoken.io (+ any others) push to buyer's registrar account</t>
  </si>
  <si>
    <t xml:space="preserve">Registrar</t>
  </si>
  <si>
    <t xml:space="preserve">WordPress + hosting</t>
  </si>
  <si>
    <t xml:space="preserve">Hostinger account/site transfer; AnswerPress re-connection</t>
  </si>
  <si>
    <t xml:space="preserve">Hosting</t>
  </si>
  <si>
    <t xml:space="preserve">Code</t>
  </si>
  <si>
    <t xml:space="preserve">GitHub repo transfer (incl. CLAUDE.md)</t>
  </si>
  <si>
    <t xml:space="preserve">GitHub</t>
  </si>
  <si>
    <t xml:space="preserve">Cloud</t>
  </si>
  <si>
    <t xml:space="preserve">Vercel, Supabase, Railway project transfers</t>
  </si>
  <si>
    <t xml:space="preserve">Each platform</t>
  </si>
  <si>
    <t xml:space="preserve">Mobile</t>
  </si>
  <si>
    <t xml:space="preserve">Expo/EAS project + Android keystore; Play app transfer; TestFlight build</t>
  </si>
  <si>
    <t xml:space="preserve">Expo / Play</t>
  </si>
  <si>
    <t xml:space="preserve">BotFather &gt; Transfer Ownership (2FA on 7+ days); channel/group ownership</t>
  </si>
  <si>
    <t xml:space="preserve">Payments</t>
  </si>
  <si>
    <t xml:space="preserve">Transak (entity-bound if the LLC is sold; new KYB if assets only); CDP paymaster</t>
  </si>
  <si>
    <t xml:space="preserve">Vendors</t>
  </si>
  <si>
    <t xml:space="preserve">Email + scheduling</t>
  </si>
  <si>
    <t xml:space="preserve">Proton custom-domain mailbox; Calendly</t>
  </si>
  <si>
    <t xml:space="preserve">Socials</t>
  </si>
  <si>
    <t xml:space="preserve">LLC sale: accounts stay with the company. Asset sale: brand channels subject to each platform's rules - never priced as assets</t>
  </si>
  <si>
    <t xml:space="preserve">Platforms</t>
  </si>
  <si>
    <t xml:space="preserve">Secrets</t>
  </si>
  <si>
    <t xml:space="preserve">Rotate every key and password after handover; buyer confirms</t>
  </si>
  <si>
    <t xml:space="preserve">Exclude</t>
  </si>
  <si>
    <t xml:space="preserve">Unsolicited airdrop tokens in the Bank wallet - never list, never interact</t>
  </si>
  <si>
    <t xml:space="preserve">Wallet rule: move assets and roles onchain to wallets the buyer creates. Never hand over private keys or seed phrases — a buyer can never prove a handed-over key wasn't copied, and prices that risk in.</t>
  </si>
  <si>
    <t xml:space="preserve">Predictive fit model — agency 'yes' likelihood (Sept 19, unchanged)</t>
  </si>
  <si>
    <t xml:space="preserve">Score = weighted average of five 0-5 components, scaled to 100. P(meeting) comes from the band table. Both are starting assumptions (blue) — overwrite with your own reply data.</t>
  </si>
  <si>
    <t xml:space="preserve">Component</t>
  </si>
  <si>
    <t xml:space="preserve">Weight</t>
  </si>
  <si>
    <t xml:space="preserve">What 5 means</t>
  </si>
  <si>
    <t xml:space="preserve">What 0 means</t>
  </si>
  <si>
    <t xml:space="preserve">Scale (roster size / reach)</t>
  </si>
  <si>
    <t xml:space="preserve">100+ creators or 400+ (Creators Inc); one yes = many weekly entrants</t>
  </si>
  <si>
    <t xml:space="preserve">Solo operator / a handful of creators</t>
  </si>
  <si>
    <t xml:space="preserve">Reachability of decision-maker</t>
  </si>
  <si>
    <t xml:space="preserve">Named founder + published business email/Telegram</t>
  </si>
  <si>
    <t xml:space="preserve">Anonymous team, intake form only</t>
  </si>
  <si>
    <t xml:space="preserve">Openness (crypto / off-platform promo / performance marketing)</t>
  </si>
  <si>
    <t xml:space="preserve">Multi-platform, Telegram-native, Dubai/EU, runs traffic ops</t>
  </si>
  <si>
    <t xml:space="preserve">OnlyFans-only, discreet/no-face roster, no social promo</t>
  </si>
  <si>
    <t xml:space="preserve">Reputation safety (inverse risk)</t>
  </si>
  <si>
    <t xml:space="preserve">Clean press, registered company, transparent splits</t>
  </si>
  <si>
    <t xml:space="preserve">Active litigation / creator-exploitation coverage</t>
  </si>
  <si>
    <t xml:space="preserve">Meet-in-person access</t>
  </si>
  <si>
    <t xml:space="preserve">Hosts or attends XBIZ/AVN/Swim Week/own events</t>
  </si>
  <si>
    <t xml:space="preserve">No public events</t>
  </si>
  <si>
    <t xml:space="preserve">Weight check (must be 100%)</t>
  </si>
  <si>
    <t xml:space="preserve">P(meeting) bands — probability an agency books a call after the full sequence</t>
  </si>
  <si>
    <t xml:space="preserve">Score floor</t>
  </si>
  <si>
    <t xml:space="preserve">P(meeting)</t>
  </si>
  <si>
    <t xml:space="preserve">Rationale</t>
  </si>
  <si>
    <t xml:space="preserve">Cold, hard-to-reach, low fit: email-only cold B2B response rates typically sit in low single digits</t>
  </si>
  <si>
    <t xml:space="preserve">Average fit with multi-channel follow-up (email + DM + phone)</t>
  </si>
  <si>
    <t xml:space="preserve">Good fit, reachable decision-maker</t>
  </si>
  <si>
    <t xml:space="preserve">Tier-1 fit + published direct channel or warm intro</t>
  </si>
  <si>
    <t xml:space="preserve">Channel multipliers (assumptions — calibrate)</t>
  </si>
  <si>
    <t xml:space="preserve">Touch / condition</t>
  </si>
  <si>
    <t xml:space="preserve">Multiplier</t>
  </si>
  <si>
    <t xml:space="preserve">Note</t>
  </si>
  <si>
    <t xml:space="preserve">Warm intro (Rare X Network, Supercreator, a creator already on the board)</t>
  </si>
  <si>
    <t xml:space="preserve">Referral beats cold in every outbound benchmark</t>
  </si>
  <si>
    <t xml:space="preserve">Phone follow-up reached a human</t>
  </si>
  <si>
    <t xml:space="preserve">Live conversation vs inbox</t>
  </si>
  <si>
    <t xml:space="preserve">Met in person at an event</t>
  </si>
  <si>
    <t xml:space="preserve">XBIZ/AVN/Swim Week hallway meeting</t>
  </si>
  <si>
    <t xml:space="preserve">Email only, no other channel</t>
  </si>
  <si>
    <t xml:space="preserve">Discount the band value if you skip DM + phone</t>
  </si>
  <si>
    <t xml:space="preserve">Agency</t>
  </si>
  <si>
    <t xml:space="preserve">HQ / cities</t>
  </si>
  <si>
    <t xml:space="preserve">Country</t>
  </si>
  <si>
    <t xml:space="preserve">Time zone</t>
  </si>
  <si>
    <t xml:space="preserve">Offset vs ET (hrs)</t>
  </si>
  <si>
    <t xml:space="preserve">Person in charge (public)</t>
  </si>
  <si>
    <t xml:space="preserve">Verified public email</t>
  </si>
  <si>
    <t xml:space="preserve">Website / apply / contact</t>
  </si>
  <si>
    <t xml:space="preserve">X / Telegram / other</t>
  </si>
  <si>
    <t xml:space="preserve">Business phone (published)</t>
  </si>
  <si>
    <t xml:space="preserve">Business mailing address (published)</t>
  </si>
  <si>
    <t xml:space="preserve">Direct-contact route</t>
  </si>
  <si>
    <t xml:space="preserve">Roster / scale signal (their claim unless noted)</t>
  </si>
  <si>
    <t xml:space="preserve">Source URL(s)</t>
  </si>
  <si>
    <t xml:space="preserve">Scale (0-5)</t>
  </si>
  <si>
    <t xml:space="preserve">Reach (0-5)</t>
  </si>
  <si>
    <t xml:space="preserve">Openness (0-5)</t>
  </si>
  <si>
    <t xml:space="preserve">Rep safety (0-5)</t>
  </si>
  <si>
    <t xml:space="preserve">Meet access (0-5)</t>
  </si>
  <si>
    <t xml:space="preserve">Fit score</t>
  </si>
  <si>
    <t xml:space="preserve">Send 09:05 local = ET time</t>
  </si>
  <si>
    <t xml:space="preserve">ET day</t>
  </si>
  <si>
    <t xml:space="preserve">In Aug cohort-1? (Y/N)</t>
  </si>
  <si>
    <t xml:space="preserve">Notes / risks / angle</t>
  </si>
  <si>
    <t xml:space="preserve">Sale-track role (Sept 24)</t>
  </si>
  <si>
    <t xml:space="preserve">Miami, FL (content house; events in Miami &amp; NYC)</t>
  </si>
  <si>
    <t xml:space="preserve">USA</t>
  </si>
  <si>
    <t xml:space="preserve">America/New_York (EDT)</t>
  </si>
  <si>
    <t xml:space="preserve">not published</t>
  </si>
  <si>
    <t xml:space="preserve">creatorsinc.com/contact (form) · creatorsinc.com/apply</t>
  </si>
  <si>
    <t xml:space="preserve">@creatorsinc</t>
  </si>
  <si>
    <t xml:space="preserve">YouTube @creatorsinc · weekly podcast hosted by Bachman</t>
  </si>
  <si>
    <t xml:space="preserve">Not on site — pull principal address via FL Sunbiz</t>
  </si>
  <si>
    <t xml:space="preserve">Founder is highly public (Entrepreneur, Inc., LA Weekly profiles; weekly podcast). Best route: pitch Bachman a podcast-guest/partnership angle via IG DM + LinkedIn; use Sunbiz address for direct mail.</t>
  </si>
  <si>
    <t xml:space="preserve">~700 employees, 400+ creators (Supercreator listing); $2B+ creator sales claim on site</t>
  </si>
  <si>
    <t xml:space="preserve">https://www.creatorsinc.com/ · https://www.supercreator.app/agencies</t>
  </si>
  <si>
    <t xml:space="preserve">Largest roster found. Also the most natural strategic acquirer for TTS. Runs CI Swimwear show at Miami Swim Week = in-person window (late May/early June).</t>
  </si>
  <si>
    <t xml:space="preserve">Acquirer track — see Acquirers tab</t>
  </si>
  <si>
    <t xml:space="preserve">Miami, FL (HQ) · UK/ES/RO/UA/PT-BR sites</t>
  </si>
  <si>
    <t xml:space="preserve">USA / UK</t>
  </si>
  <si>
    <t xml:space="preserve">—</t>
  </si>
  <si>
    <t xml:space="preserve">office@aroaagency.com (verified on site footer, Sept 2026)</t>
  </si>
  <si>
    <t xml:space="preserve">aroaagency.com/uk/contact (form)</t>
  </si>
  <si>
    <t xml:space="preserve">Telegram t.me/aroaagency1 · YouTube @aroa_agency</t>
  </si>
  <si>
    <t xml:space="preserve">8101 Biscayne Blvd, Ph 703-24, Miami, FL 33138 (site footer)</t>
  </si>
  <si>
    <t xml:space="preserve">Email + Telegram published. Ask office@ for the founder/partnerships lead by name. Attends XBIZ/AVN (logos on site) = meet in person.</t>
  </si>
  <si>
    <t xml:space="preserve">30+ 'elite' creators, 150+ global team, 10+ yrs in adult industry; has a 'Refer Creators' program</t>
  </si>
  <si>
    <t xml:space="preserve">https://aroaagency.com/uk</t>
  </si>
  <si>
    <t xml:space="preserve">Most reachable Tier-1. Referral culture = receptive to a weekly talent program. Multilingual (RO/UA/ES/PT) — could seed non-US creators.</t>
  </si>
  <si>
    <t xml:space="preserve">Los Angeles (founded 2018) · Paris · Miami · Milan</t>
  </si>
  <si>
    <t xml:space="preserve">USA / France</t>
  </si>
  <si>
    <t xml:space="preserve">America/Los_Angeles (PDT)</t>
  </si>
  <si>
    <t xml:space="preserve">Founder (former top creator)</t>
  </si>
  <si>
    <t xml:space="preserve">Supercreator listing → agency site (verify)</t>
  </si>
  <si>
    <t xml:space="preserve">verify</t>
  </si>
  <si>
    <t xml:space="preserve">Runs the 'Exclu Awards LA' creator event</t>
  </si>
  <si>
    <t xml:space="preserve">Founder is the public face; approach via IG DM to Louna + event sponsorship/partnership ask.</t>
  </si>
  <si>
    <t xml:space="preserve">'Exclusive network of international talents'; female-only agency</t>
  </si>
  <si>
    <t xml:space="preserve">https://www.supercreator.app/agencies</t>
  </si>
  <si>
    <t xml:space="preserve">Event owner = pitch a TTS award category / live vote at Exclu Awards. Four cities = multi-timezone roster.</t>
  </si>
  <si>
    <t xml:space="preserve">Germany (DACH)</t>
  </si>
  <si>
    <t xml:space="preserve">Germany</t>
  </si>
  <si>
    <t xml:space="preserve">Europe/Berlin (CEST)</t>
  </si>
  <si>
    <t xml:space="preserve">Named in Impressum (verify at she-x.de/impressum)</t>
  </si>
  <si>
    <t xml:space="preserve">Geschäftsführer (per Impressum)</t>
  </si>
  <si>
    <t xml:space="preserve">in Impressum (verify)</t>
  </si>
  <si>
    <t xml:space="preserve">she-x.de</t>
  </si>
  <si>
    <t xml:space="preserve">@onlyfans_agentur (13K)</t>
  </si>
  <si>
    <t xml:space="preserve">Trustpilot 4.8 (132 reviews)</t>
  </si>
  <si>
    <t xml:space="preserve">German law requires a named responsible person + email + address on the Impressum page — the cleanest direct contact in the whole list.</t>
  </si>
  <si>
    <t xml:space="preserve">Claims 450+ staff and 'largest' management for OnlyFans, 4based, BestFans, Fancentro, Maloum (Trustpilot company blurb)</t>
  </si>
  <si>
    <t xml:space="preserve">https://ca.trustpilot.com/review/she-x.de · https://www.instagram.com/onlyfans_agentur/</t>
  </si>
  <si>
    <t xml:space="preserve">Multi-platform (not OF-only) → less TOS-sensitive to off-platform promo. Big DACH roster. Write in English; offer German landing copy.</t>
  </si>
  <si>
    <t xml:space="preserve">Rare X Network / Rare Agency</t>
  </si>
  <si>
    <t xml:space="preserve">USA (verify city)</t>
  </si>
  <si>
    <t xml:space="preserve">America/New_York (verify)</t>
  </si>
  <si>
    <t xml:space="preserve">rareagency.net</t>
  </si>
  <si>
    <t xml:space="preserve">Matching network that places creators with many agencies — one partnership = multi-agency reach. Approach as co-marketing partner, not as a single agency.</t>
  </si>
  <si>
    <t xml:space="preserve">Network of partner agencies; free matching for creators (CreditDonkey review)</t>
  </si>
  <si>
    <t xml:space="preserve">https://www.rareagency.net/ · https://www.creditdonkey.com/best-onlyfans-agency.html</t>
  </si>
  <si>
    <t xml:space="preserve">Channel multiplier. Offer: TTS as a perk they hand every placed creator.</t>
  </si>
  <si>
    <t xml:space="preserve">Weekly enlistment — demand evidence</t>
  </si>
  <si>
    <t xml:space="preserve">Supercreator (software + agency directory)</t>
  </si>
  <si>
    <t xml:space="preserve">Israel (directory lists 31 countries)</t>
  </si>
  <si>
    <t xml:space="preserve">Israel</t>
  </si>
  <si>
    <t xml:space="preserve">Asia/Jerusalem</t>
  </si>
  <si>
    <t xml:space="preserve">Partnerships / community</t>
  </si>
  <si>
    <t xml:space="preserve">supercreator.app/agencies · consultation Calendly on site</t>
  </si>
  <si>
    <t xml:space="preserve">Telegram t.me/supercreator_app · X @Supercreatorapp · podcast on Spotify</t>
  </si>
  <si>
    <t xml:space="preserve">Not an agency — the tool 25,000 creators/agencies use. Pitch: partner listing, podcast slot, co-marketing to their agency base.</t>
  </si>
  <si>
    <t xml:space="preserve">25,000 customers claim; directory of verified agencies</t>
  </si>
  <si>
    <t xml:space="preserve">Highest-leverage single relationship: their directory IS the global list.</t>
  </si>
  <si>
    <t xml:space="preserve">Lost Boys Agency</t>
  </si>
  <si>
    <t xml:space="preserve">verify (invite-only)</t>
  </si>
  <si>
    <t xml:space="preserve">Instagram only</t>
  </si>
  <si>
    <t xml:space="preserve">@lostboys.agency</t>
  </si>
  <si>
    <t xml:space="preserve">Invite-only; IG DM or warm intro only. Do not cold email.</t>
  </si>
  <si>
    <t xml:space="preserve">Claims $2M+/mo net sales; one talent $55M in debut year (their own PR)</t>
  </si>
  <si>
    <t xml:space="preserve">https://www.instagram.com/lostboys.agency/ · https://secretsofonlyfans.gumroad.com</t>
  </si>
  <si>
    <t xml:space="preserve">Whale roster; low reachability. Worth one IG DM + one warm-intro attempt, then park.</t>
  </si>
  <si>
    <t xml:space="preserve">Unruly Agency</t>
  </si>
  <si>
    <t xml:space="preserve">Los Angeles</t>
  </si>
  <si>
    <t xml:space="preserve">Tara 'Electra' Niknejad; co-founder Nicky Gathrite</t>
  </si>
  <si>
    <t xml:space="preserve">CEO; Co-founder</t>
  </si>
  <si>
    <t xml:space="preserve">unrulyagency.com (verify)</t>
  </si>
  <si>
    <t xml:space="preserve">Not on site — CA SoS bizfile</t>
  </si>
  <si>
    <t xml:space="preserve">CEO is named in press; LinkedIn/IG DM. Diligence first (see notes).</t>
  </si>
  <si>
    <t xml:space="preserve">100+ models/influencers, 500M combined reach (2021 BusinessWire)</t>
  </si>
  <si>
    <t xml:space="preserve">https://www.businesswire.com/news/home/20210914005352/en/ · https://www.rollingstone.com/culture/culture-news/onlyfans-creators-unruly-agency-nudity-lawsuit-1320185/</t>
  </si>
  <si>
    <t xml:space="preserve">Multiple creator lawsuits 2021-24; 2026 press releases say all claims dismissed/dropped. Reputation check before any public co-marketing — your 'never be seen as malicious' rule.</t>
  </si>
  <si>
    <t xml:space="preserve">Behave Agency</t>
  </si>
  <si>
    <t xml:space="preserve">Los Angeles (founded 2020)</t>
  </si>
  <si>
    <t xml:space="preserve">— (Unruly-affiliated)</t>
  </si>
  <si>
    <t xml:space="preserve">Same diligence as Unruly; contact via Unruly leadership.</t>
  </si>
  <si>
    <t xml:space="preserve">Smaller-influencer arm of Unruly (Daily Beast)</t>
  </si>
  <si>
    <t xml:space="preserve">https://www.cbinsights.com/company/behave-agency</t>
  </si>
  <si>
    <t xml:space="preserve">Named in the same suits as Unruly.</t>
  </si>
  <si>
    <t xml:space="preserve">Sakura Management</t>
  </si>
  <si>
    <t xml:space="preserve">Supercreator listing → site (verify)</t>
  </si>
  <si>
    <t xml:space="preserve">Ex-webcam traffic firm → performance-marketing mindset; pitch the funnel math.</t>
  </si>
  <si>
    <t xml:space="preserve">5+ yrs; adult + mainstream creators (Supercreator listing, verified)</t>
  </si>
  <si>
    <t xml:space="preserve">Traffic-ops DNA = understands CAC/LTV pitch.</t>
  </si>
  <si>
    <t xml:space="preserve">Doris Agency / Doris Talent</t>
  </si>
  <si>
    <t xml:space="preserve">Los Angeles · Miami</t>
  </si>
  <si>
    <t xml:space="preserve">Site contact + IG DM.</t>
  </si>
  <si>
    <t xml:space="preserve">Production company + influencer marketing (Supercreator, verified)</t>
  </si>
  <si>
    <t xml:space="preserve">Brand-partnership oriented — frame TTS as a sponsor-ready property.</t>
  </si>
  <si>
    <t xml:space="preserve">Seiren</t>
  </si>
  <si>
    <t xml:space="preserve">Site form + IG.</t>
  </si>
  <si>
    <t xml:space="preserve">Claims 'most of the top 1% creators' (Vocal Media roundup)</t>
  </si>
  <si>
    <t xml:space="preserve">https://vocal.media/journal/11-best-only-fans-agencies-to-join-best-only-fans-management-and-marketing-agencies-to-join-as-a-creator</t>
  </si>
  <si>
    <t xml:space="preserve">Safety/comfort-first positioning — lead with consent agreement + no-OF-posting.</t>
  </si>
  <si>
    <t xml:space="preserve">Teasy Agency</t>
  </si>
  <si>
    <t xml:space="preserve">verify (assume ET)</t>
  </si>
  <si>
    <t xml:space="preserve">Co-founded by a female creator (name not published)</t>
  </si>
  <si>
    <t xml:space="preserve">Co-founder</t>
  </si>
  <si>
    <t xml:space="preserve">teasyagency.com</t>
  </si>
  <si>
    <t xml:space="preserve">Site form; ask for co-founder by role.</t>
  </si>
  <si>
    <t xml:space="preserve">Creator-founded; multi-tier management (site)</t>
  </si>
  <si>
    <t xml:space="preserve">https://teasyagency.com/</t>
  </si>
  <si>
    <t xml:space="preserve">Creator-led leadership responds to creator-benefit framing (trophies, weekly spotlight).</t>
  </si>
  <si>
    <t xml:space="preserve">Think Expansion</t>
  </si>
  <si>
    <t xml:space="preserve">Miami, FL</t>
  </si>
  <si>
    <t xml:space="preserve">Site form.</t>
  </si>
  <si>
    <t xml:space="preserve">'One of the first OF agencies'; no-face/discreet models (Vocal Media)</t>
  </si>
  <si>
    <t xml:space="preserve">Discreet roster = lower fit for a public photo leaderboard. Offer masked/creative-profile option or deprioritize.</t>
  </si>
  <si>
    <t xml:space="preserve">Emerald Agency</t>
  </si>
  <si>
    <t xml:space="preserve">Gold Coast, AU · Los Angeles</t>
  </si>
  <si>
    <t xml:space="preserve">Australia / USA</t>
  </si>
  <si>
    <t xml:space="preserve">Australia/Brisbane (AEST, no DST)</t>
  </si>
  <si>
    <t xml:space="preserve">Site form; NYT Magazine feature gives a PR-savvy hook.</t>
  </si>
  <si>
    <t xml:space="preserve">NYT Magazine-featured; exclusive roster (Vocal Media)</t>
  </si>
  <si>
    <t xml:space="preserve">Dual timezone: send AU batch and LA batch separately.</t>
  </si>
  <si>
    <t xml:space="preserve">Aruna Talent</t>
  </si>
  <si>
    <t xml:space="preserve">verify country</t>
  </si>
  <si>
    <t xml:space="preserve">arunatalent.com (apply)</t>
  </si>
  <si>
    <t xml:space="preserve">Site apply page + LinkedIn search 'Aruna Talent'.</t>
  </si>
  <si>
    <t xml:space="preserve">60+ creators, ~100-person team, $10M+/yr creator revenue (their own 'State of OnlyFans 2026' post)</t>
  </si>
  <si>
    <t xml:space="preserve">https://arunatalent.com/blog/state-of-onlyfans-2026/</t>
  </si>
  <si>
    <t xml:space="preserve">Publishes industry data — data-driven; send the EV calculator.</t>
  </si>
  <si>
    <t xml:space="preserve">TDM Agency</t>
  </si>
  <si>
    <t xml:space="preserve">verify (worldwide)</t>
  </si>
  <si>
    <t xml:space="preserve">tdmmanagement.com</t>
  </si>
  <si>
    <t xml:space="preserve">Site form; Supercreator-verified listing.</t>
  </si>
  <si>
    <t xml:space="preserve">'World's leading' claim (Supercreator listing)</t>
  </si>
  <si>
    <t xml:space="preserve">https://tdmmanagement.com/ · https://www.supercreator.app/agencies</t>
  </si>
  <si>
    <t xml:space="preserve">Cross-creator collab culture = weekly contest fits their playbook.</t>
  </si>
  <si>
    <t xml:space="preserve">FansHub</t>
  </si>
  <si>
    <t xml:space="preserve">UK &amp; USA chat teams</t>
  </si>
  <si>
    <t xml:space="preserve">UK / USA</t>
  </si>
  <si>
    <t xml:space="preserve">Europe/London (BST)</t>
  </si>
  <si>
    <t xml:space="preserve">Site form; Companies House for UK Ltd officers.</t>
  </si>
  <si>
    <t xml:space="preserve">20+ promo methods incl. meme pages, podcasts, influencer collabs (Talented Ladies Club)</t>
  </si>
  <si>
    <t xml:space="preserve">https://www.talentedladiesclub.com/articles/five-best-onlyfans-management-agencies-in-2026/</t>
  </si>
  <si>
    <t xml:space="preserve">Marketing-native — TTS is one more promo method for their stack.</t>
  </si>
  <si>
    <t xml:space="preserve">Lush Management</t>
  </si>
  <si>
    <t xml:space="preserve">UK HQ; roster US/UK/AU</t>
  </si>
  <si>
    <t xml:space="preserve">UK</t>
  </si>
  <si>
    <t xml:space="preserve">lushmgmt.co.uk/apply (form)</t>
  </si>
  <si>
    <t xml:space="preserve">@thelushmgmt</t>
  </si>
  <si>
    <t xml:space="preserve">X @lush_mgmt</t>
  </si>
  <si>
    <t xml:space="preserve">Form + X/IG DM; Companies House for directors.</t>
  </si>
  <si>
    <t xml:space="preserve">'Nearly three years' experience; performance-only fees (site)</t>
  </si>
  <si>
    <t xml:space="preserve">https://www.lushmgmt.co.uk/</t>
  </si>
  <si>
    <t xml:space="preserve">Publishes Twitter/Reddit promo guides — comfortable with off-platform promo.</t>
  </si>
  <si>
    <t xml:space="preserve">Rize Agency</t>
  </si>
  <si>
    <t xml:space="preserve">Site form; Companies House.</t>
  </si>
  <si>
    <t xml:space="preserve">Claims $5k→$180k/mo client growth (Vocal Media)</t>
  </si>
  <si>
    <t xml:space="preserve">Elite OnlyFans Management</t>
  </si>
  <si>
    <t xml:space="preserve">Australia · UK · Dubai</t>
  </si>
  <si>
    <t xml:space="preserve">AU / UK / UAE</t>
  </si>
  <si>
    <t xml:space="preserve">Asia/Dubai (GST)</t>
  </si>
  <si>
    <t xml:space="preserve">eliteonlyfansmgmt.com (apply)</t>
  </si>
  <si>
    <t xml:space="preserve">International team; ex-top-0.1% creators (site)</t>
  </si>
  <si>
    <t xml:space="preserve">https://www.eliteonlyfansmgmt.com/</t>
  </si>
  <si>
    <t xml:space="preserve">Dubai presence = crypto-comfortable.</t>
  </si>
  <si>
    <t xml:space="preserve">Bunny Studios (Bunny Agency)</t>
  </si>
  <si>
    <t xml:space="preserve">Germany (est. 2019)</t>
  </si>
  <si>
    <t xml:space="preserve">Named in Impressum (verify)</t>
  </si>
  <si>
    <t xml:space="preserve">Geschäftsführer</t>
  </si>
  <si>
    <t xml:space="preserve">bunny-studios.com</t>
  </si>
  <si>
    <t xml:space="preserve">@onlybunnyagency</t>
  </si>
  <si>
    <t xml:space="preserve">in Impressum</t>
  </si>
  <si>
    <t xml:space="preserve">Impressum. Confirm whether the Supercreator 'Bunny agency' listing is the same entity.</t>
  </si>
  <si>
    <t xml:space="preserve">'Top one OF agency in Europe' claim; no lock-in contracts (site)</t>
  </si>
  <si>
    <t xml:space="preserve">https://bunny-studios.com/ · https://www.supercreator.app/agencies</t>
  </si>
  <si>
    <t xml:space="preserve">NEO Agency</t>
  </si>
  <si>
    <t xml:space="preserve">Impressum (verify)</t>
  </si>
  <si>
    <t xml:space="preserve">Impressum.</t>
  </si>
  <si>
    <t xml:space="preserve">AI-driven growth positioning (Vocal Media)</t>
  </si>
  <si>
    <t xml:space="preserve">https://vocal.media/filthy/top-10-best-only-fans-agencies-2024</t>
  </si>
  <si>
    <t xml:space="preserve">Tech-forward — onchain trophies/gasless wallets are a feature.</t>
  </si>
  <si>
    <t xml:space="preserve">NorthCoast Agency</t>
  </si>
  <si>
    <t xml:space="preserve">'$6M+ earned for creators' claim (Vocal Media)</t>
  </si>
  <si>
    <t xml:space="preserve">Dolce Vita Agency</t>
  </si>
  <si>
    <t xml:space="preserve">USA &amp; Germany teams</t>
  </si>
  <si>
    <t xml:space="preserve">USA / Germany</t>
  </si>
  <si>
    <t xml:space="preserve">Impressum (if DE entity) or site form.</t>
  </si>
  <si>
    <t xml:space="preserve">25+ creators, most top 0.02% (Vocal Media)</t>
  </si>
  <si>
    <t xml:space="preserve">'No PPV spam' ethos — lead with fan-experience framing.</t>
  </si>
  <si>
    <t xml:space="preserve">Foxy Studios</t>
  </si>
  <si>
    <t xml:space="preserve">EU (verify country; euro-denominated)</t>
  </si>
  <si>
    <t xml:space="preserve">Europe/Berlin (assume CEST)</t>
  </si>
  <si>
    <t xml:space="preserve">Female-led leadership team</t>
  </si>
  <si>
    <t xml:space="preserve">Supercreator listing → site</t>
  </si>
  <si>
    <t xml:space="preserve">Site/Impressum.</t>
  </si>
  <si>
    <t xml:space="preserve">55/45 split in creator's favor; real-time dashboards (Supercreator, verified)</t>
  </si>
  <si>
    <t xml:space="preserve">Transparency brand — show the onchain audit page and prize split.</t>
  </si>
  <si>
    <t xml:space="preserve">Magic Agency</t>
  </si>
  <si>
    <t xml:space="preserve">verify (hosts meetups in USA, Thailand, Dubai, Europe, Brazil)</t>
  </si>
  <si>
    <t xml:space="preserve">Site form; ask to attend a meetup.</t>
  </si>
  <si>
    <t xml:space="preserve">Global creator meetups; weekly QA reports (Vocal Media)</t>
  </si>
  <si>
    <t xml:space="preserve">Meetup culture = in-person pitch to founder + creators at once.</t>
  </si>
  <si>
    <t xml:space="preserve">Australia</t>
  </si>
  <si>
    <t xml:space="preserve">Australia/Sydney (AEST→AEDT Oct 4)</t>
  </si>
  <si>
    <t xml:space="preserve">@upbrand.au (121K) · founder @tonyizzet</t>
  </si>
  <si>
    <t xml:space="preserve">Founder is public on IG — DM him directly. ABN Lookup for the entity.</t>
  </si>
  <si>
    <t xml:space="preserve">'Scaling models globally to $40,000+/mo'; 'all spots currently filled' (IG bio)</t>
  </si>
  <si>
    <t xml:space="preserve">https://www.instagram.com/upbrand.au/</t>
  </si>
  <si>
    <t xml:space="preserve">'Spots filled' = capacity-constrained; TTS adds revenue without adding headcount.</t>
  </si>
  <si>
    <t xml:space="preserve">Azzur Agency (OnlyFansManagement.com.au)</t>
  </si>
  <si>
    <t xml:space="preserve">Leadership roles on About page (names: verify)</t>
  </si>
  <si>
    <t xml:space="preserve">onlyfansmanagement.com.au/about-us</t>
  </si>
  <si>
    <t xml:space="preserve">About page lists roles; ABN Lookup.</t>
  </si>
  <si>
    <t xml:space="preserve">Talent/celebrities/public figures focus (site)</t>
  </si>
  <si>
    <t xml:space="preserve">https://onlyfansmanagement.com.au/</t>
  </si>
  <si>
    <t xml:space="preserve">Celebrity roster = bigger vote pull per creator.</t>
  </si>
  <si>
    <t xml:space="preserve">SirenCY</t>
  </si>
  <si>
    <t xml:space="preserve">verify (CY?)</t>
  </si>
  <si>
    <t xml:space="preserve">Europe/Nicosia (assume EEST)</t>
  </si>
  <si>
    <t xml:space="preserve">sirency.com</t>
  </si>
  <si>
    <t xml:space="preserve">Site; treat their numbers as marketing until verified.</t>
  </si>
  <si>
    <t xml:space="preserve">Claims 312+ creators, $50M+ managed (own blog)</t>
  </si>
  <si>
    <t xml:space="preserve">https://www.sirency.com/blog/biggest-onlyfans-agencies-2026-the-major-players-revealed</t>
  </si>
  <si>
    <t xml:space="preserve">Verify before relying on scale.</t>
  </si>
  <si>
    <t xml:space="preserve">Melossom Management</t>
  </si>
  <si>
    <t xml:space="preserve">melossommgmt.com</t>
  </si>
  <si>
    <t xml:space="preserve">'UK's leading' claim (site)</t>
  </si>
  <si>
    <t xml:space="preserve">https://www.melossommgmt.com/</t>
  </si>
  <si>
    <t xml:space="preserve">Red Fox</t>
  </si>
  <si>
    <t xml:space="preserve">Custom packages; copywriters/analysts (AROA UK roundup)</t>
  </si>
  <si>
    <t xml:space="preserve">https://aroaagency.com/uk/blog/the-biggest-best-onlyfans-agencies</t>
  </si>
  <si>
    <t xml:space="preserve">Everlasting Eros / EROS Agency</t>
  </si>
  <si>
    <t xml:space="preserve">London</t>
  </si>
  <si>
    <t xml:space="preserve">Site form; confirm whether EROS Agency is the same firm.</t>
  </si>
  <si>
    <t xml:space="preserve">Brand-strategy-first positioning</t>
  </si>
  <si>
    <t xml:space="preserve">https://www.laxir.us/single-post/top-5-best-onlyfans-agencies-management-services</t>
  </si>
  <si>
    <t xml:space="preserve">20MG (Twenty Management Group)</t>
  </si>
  <si>
    <t xml:space="preserve">USA-registered; serves US/UK/AU/CA</t>
  </si>
  <si>
    <t xml:space="preserve">America/New_York (assume EDT)</t>
  </si>
  <si>
    <t xml:space="preserve">20mg.co (apply)</t>
  </si>
  <si>
    <t xml:space="preserve">Small deliberate roster; six-figure marketing budgets claim (site)</t>
  </si>
  <si>
    <t xml:space="preserve">https://20mg.co/</t>
  </si>
  <si>
    <t xml:space="preserve">Serves Canada — CASL: no cold email to Canadian contacts; use form/DM.</t>
  </si>
  <si>
    <t xml:space="preserve">Xcelerate Agency</t>
  </si>
  <si>
    <t xml:space="preserve">AI + social-media-marketing positioning (Supercreator, verified)</t>
  </si>
  <si>
    <t xml:space="preserve">2TWENTYTWO</t>
  </si>
  <si>
    <t xml:space="preserve">Boutique, premium chatting (Supercreator, verified)</t>
  </si>
  <si>
    <t xml:space="preserve">WE ARE VERIFIED</t>
  </si>
  <si>
    <t xml:space="preserve">Talent-first management (Supercreator listing)</t>
  </si>
  <si>
    <t xml:space="preserve">Verge Agency</t>
  </si>
  <si>
    <t xml:space="preserve">Models, influencers, celebrities (Supercreator listing)</t>
  </si>
  <si>
    <t xml:space="preserve">OFM (of-management.com)</t>
  </si>
  <si>
    <t xml:space="preserve">Nuremberg, Germany</t>
  </si>
  <si>
    <t xml:space="preserve">Two brothers (names in Impressum — verify)</t>
  </si>
  <si>
    <t xml:space="preserve">Founders</t>
  </si>
  <si>
    <t xml:space="preserve">of-management.com</t>
  </si>
  <si>
    <t xml:space="preserve">Ex-B2B social agency turned OFM (site)</t>
  </si>
  <si>
    <t xml:space="preserve">https://www.of-management.com/</t>
  </si>
  <si>
    <t xml:space="preserve">B2B-marketing roots — will read an EV model.</t>
  </si>
  <si>
    <t xml:space="preserve">Adler Agency</t>
  </si>
  <si>
    <t xml:space="preserve">Germany (DACH, since 2024)</t>
  </si>
  <si>
    <t xml:space="preserve">adleragency.de</t>
  </si>
  <si>
    <t xml:space="preserve">Selected models and agencies in DACH + worldwide (site)</t>
  </si>
  <si>
    <t xml:space="preserve">https://www.adleragency.de/en</t>
  </si>
  <si>
    <t xml:space="preserve">Works with other agencies — possible sub-network.</t>
  </si>
  <si>
    <t xml:space="preserve">FameGrowth</t>
  </si>
  <si>
    <t xml:space="preserve">famegrowth.de</t>
  </si>
  <si>
    <t xml:space="preserve">8+ yrs experience claim (site)</t>
  </si>
  <si>
    <t xml:space="preserve">https://famegrowth.de/en</t>
  </si>
  <si>
    <t xml:space="preserve">MAHO Management</t>
  </si>
  <si>
    <t xml:space="preserve">DACH</t>
  </si>
  <si>
    <t xml:space="preserve">maho-management.com</t>
  </si>
  <si>
    <t xml:space="preserve">Brand management + Instagram/TikTok/Twitch promo (site)</t>
  </si>
  <si>
    <t xml:space="preserve">https://maho-management.com/en/</t>
  </si>
  <si>
    <t xml:space="preserve">Twitch/streamer crossover — gaming-literate roster.</t>
  </si>
  <si>
    <t xml:space="preserve">FEM Management</t>
  </si>
  <si>
    <t xml:space="preserve">fem-management.com</t>
  </si>
  <si>
    <t xml:space="preserve">24/7 DE/EN chat teams; leak protection (site)</t>
  </si>
  <si>
    <t xml:space="preserve">https://www.fem-management.com/</t>
  </si>
  <si>
    <t xml:space="preserve">Die OnlyFans Agentur</t>
  </si>
  <si>
    <t xml:space="preserve">die-onlyfans-agentur.de</t>
  </si>
  <si>
    <t xml:space="preserve">https://www.die-onlyfans-agentur.de/</t>
  </si>
  <si>
    <t xml:space="preserve">Prosper Talent Management</t>
  </si>
  <si>
    <t xml:space="preserve">prospermanagement.com.au</t>
  </si>
  <si>
    <t xml:space="preserve">Site form; ABN Lookup.</t>
  </si>
  <si>
    <t xml:space="preserve">Performance-driven; hiring chat/ops staff (site)</t>
  </si>
  <si>
    <t xml:space="preserve">https://www.prospermanagement.com.au/</t>
  </si>
  <si>
    <t xml:space="preserve">Flair Management</t>
  </si>
  <si>
    <t xml:space="preserve">Sydney</t>
  </si>
  <si>
    <t xml:space="preserve">flair-management.com</t>
  </si>
  <si>
    <t xml:space="preserve">https://flair-management.com/</t>
  </si>
  <si>
    <t xml:space="preserve">Nest Talent Pty Ltd</t>
  </si>
  <si>
    <t xml:space="preserve">Brisbane</t>
  </si>
  <si>
    <t xml:space="preserve">nesttalent.com</t>
  </si>
  <si>
    <t xml:space="preserve">Site form; ASIC/ABN for Pty Ltd officers.</t>
  </si>
  <si>
    <t xml:space="preserve">Registered company; performance-based offer (site)</t>
  </si>
  <si>
    <t xml:space="preserve">https://www.nesttalent.com/</t>
  </si>
  <si>
    <t xml:space="preserve">Aura Management</t>
  </si>
  <si>
    <t xml:space="preserve">auramgmt.com.au</t>
  </si>
  <si>
    <t xml:space="preserve">Traditional talent-management ethos; also non-female creators (site)</t>
  </si>
  <si>
    <t xml:space="preserve">https://www.auramgmt.com.au/</t>
  </si>
  <si>
    <t xml:space="preserve">OFM Models (ofmmodels.com)</t>
  </si>
  <si>
    <t xml:space="preserve">verify (Telegram-first)</t>
  </si>
  <si>
    <t xml:space="preserve">ofmmodels.com</t>
  </si>
  <si>
    <t xml:space="preserve">Telegram @ofmm_agency</t>
  </si>
  <si>
    <t xml:space="preserve">Telegram DM.</t>
  </si>
  <si>
    <t xml:space="preserve">Serves Japanese creators too; Telegram intake (site)</t>
  </si>
  <si>
    <t xml:space="preserve">https://ofmmodels.com/en/blog/kto-sozdal-onlyfans</t>
  </si>
  <si>
    <t xml:space="preserve">Telegram-native — TTS bot integration is a natural fit.</t>
  </si>
  <si>
    <t xml:space="preserve">Bop House (creator collective — not an agency)</t>
  </si>
  <si>
    <t xml:space="preserve">Managed collective</t>
  </si>
  <si>
    <t xml:space="preserve">via their management / Creators Inc relationship</t>
  </si>
  <si>
    <t xml:space="preserve">Reach through Creators Inc — not directly.</t>
  </si>
  <si>
    <t xml:space="preserve">Highest-profile OF creator house (Wikipedia)</t>
  </si>
  <si>
    <t xml:space="preserve">https://en.wikipedia.org/wiki/Bop_House · https://www.creatorsinc.com/</t>
  </si>
  <si>
    <t xml:space="preserve">Warm intro only.</t>
  </si>
  <si>
    <t xml:space="preserve">LONG TAIL — Supercreator directory (31 countries, paginated)</t>
  </si>
  <si>
    <t xml:space="preserve">Serbia, Estonia, Slovenia, DR, Israel, Italy, UAE, Turkey, NL, Poland, Brazil, Canada, France, Ukraine, Sweden, Czechia, Bali, Argentina, India, Switzerland, Colombia, Bulgaria, Belgium, Costa Rica, Mexico, Spain…</t>
  </si>
  <si>
    <t xml:space="preserve">Global</t>
  </si>
  <si>
    <t xml:space="preserve">varies</t>
  </si>
  <si>
    <t xml:space="preserve">https://www.supercreator.app/agencies (filter by country/city)</t>
  </si>
  <si>
    <t xml:space="preserve">Work page by page; each listing links to the agency site → Impressum/contact/footer.</t>
  </si>
  <si>
    <t xml:space="preserve">Directory of listed agencies (some verified by Supercreator)</t>
  </si>
  <si>
    <t xml:space="preserve">Batch 10-15 new rows per week from here; keep the same scoring.</t>
  </si>
  <si>
    <t xml:space="preserve">Expected meetings from this list (sum of P(meeting), full multi-channel sequence)</t>
  </si>
  <si>
    <t xml:space="preserve">Tier-1 / Tier-2 / Tier-3 count</t>
  </si>
  <si>
    <t xml:space="preserve">Component scores (cols S-W) are analyst estimates from public info. Offsets: UK/EU clocks fall back Oct 25, US Nov 1, Sydney springs forward Oct 4 — recheck send times after those dates.</t>
  </si>
  <si>
    <t xml:space="preserve">Where buyers and agency owners are — business venues only</t>
  </si>
  <si>
    <t xml:space="preserve">Event / venue</t>
  </si>
  <si>
    <t xml:space="preserve">City</t>
  </si>
  <si>
    <t xml:space="preserve">Dates</t>
  </si>
  <si>
    <t xml:space="preserve">Who you'll meet</t>
  </si>
  <si>
    <t xml:space="preserve">The play</t>
  </si>
  <si>
    <t xml:space="preserve">Source</t>
  </si>
  <si>
    <t xml:space="preserve">XBIZ Show / XBIZ Week (+ X3 Expo, XMAs)</t>
  </si>
  <si>
    <t xml:space="preserve">Jan 7-10, 2027</t>
  </si>
  <si>
    <t xml:space="preserve">Agency execs, platform reps, performers, marketers; AROA exhibits/attends</t>
  </si>
  <si>
    <t xml:space="preserve">Book business-lounge meetings from the target list; demo the weekly vote on a tablet</t>
  </si>
  <si>
    <t xml:space="preserve">Dates confirmed on xbizshow.com (Sept 19 check)</t>
  </si>
  <si>
    <t xml:space="preserve">https://www.xbizshow.com/</t>
  </si>
  <si>
    <t xml:space="preserve">AVN Adult Entertainment Expo + AVN Awards</t>
  </si>
  <si>
    <t xml:space="preserve">Las Vegas</t>
  </si>
  <si>
    <t xml:space="preserve">Late Jan 2027 (confirm)</t>
  </si>
  <si>
    <t xml:space="preserve">Largest consumer+trade adult expo; agencies scout talent</t>
  </si>
  <si>
    <t xml:space="preserve">Booth-side weekly-vote demo</t>
  </si>
  <si>
    <t xml:space="preserve">Confirm on avn.com</t>
  </si>
  <si>
    <t xml:space="preserve">https://avn.com/</t>
  </si>
  <si>
    <t xml:space="preserve">Rick's Cabaret New York (RCI Hospitality)</t>
  </si>
  <si>
    <t xml:space="preserve">NYC - 50 W 33rd St</t>
  </si>
  <si>
    <t xml:space="preserve">Any evening (call ahead)</t>
  </si>
  <si>
    <t xml:space="preserve">Venue GM; RCI has hosted investor meet-ups here</t>
  </si>
  <si>
    <t xml:space="preserve">60-second /clubs demo + ask for a corporate intro</t>
  </si>
  <si>
    <t xml:space="preserve">Business venue</t>
  </si>
  <si>
    <t xml:space="preserve">RCI earnings call transcript</t>
  </si>
  <si>
    <t xml:space="preserve">NJ clubs on your /clubs list</t>
  </si>
  <si>
    <t xml:space="preserve">New Jersey</t>
  </si>
  <si>
    <t xml:space="preserve">Oct 8 evening (Plan tab)</t>
  </si>
  <si>
    <t xml:space="preserve">Owners/GMs</t>
  </si>
  <si>
    <t xml:space="preserve">Sign up 2-3 clubs on the spot = demand evidence</t>
  </si>
  <si>
    <t xml:space="preserve">Your list</t>
  </si>
  <si>
    <t xml:space="preserve">Miami Swim Week — CI Swimwear (Creators Inc)</t>
  </si>
  <si>
    <t xml:space="preserve">Miami</t>
  </si>
  <si>
    <t xml:space="preserve">Late May / early June (confirm)</t>
  </si>
  <si>
    <t xml:space="preserve">Andy Bachman + roster</t>
  </si>
  <si>
    <t xml:space="preserve">Gifting-suite slot = time with the #1 target's founder</t>
  </si>
  <si>
    <t xml:space="preserve">Confirm</t>
  </si>
  <si>
    <t xml:space="preserve">https://www.creatorsinc.com/</t>
  </si>
  <si>
    <t xml:space="preserve">Exclu Awards LA (Louna's Models)</t>
  </si>
  <si>
    <t xml:space="preserve">Confirm with Louna's</t>
  </si>
  <si>
    <t xml:space="preserve">Top creators + Louna</t>
  </si>
  <si>
    <t xml:space="preserve">Propose a TTS-powered fan-vote award</t>
  </si>
  <si>
    <t xml:space="preserve">Exxxotica Expo</t>
  </si>
  <si>
    <t xml:space="preserve">Edison NJ · Chicago · DC · Miami</t>
  </si>
  <si>
    <t xml:space="preserve">Confirm 2026-27 dates</t>
  </si>
  <si>
    <t xml:space="preserve">Creators, fans, some agency managers</t>
  </si>
  <si>
    <t xml:space="preserve">Creator signup drive on home turf</t>
  </si>
  <si>
    <t xml:space="preserve">https://en.wikipedia.org/wiki/Exxxotica_Expo</t>
  </si>
  <si>
    <t xml:space="preserve">Creators Inc podcast</t>
  </si>
  <si>
    <t xml:space="preserve">Online</t>
  </si>
  <si>
    <t xml:space="preserve">Weekly</t>
  </si>
  <si>
    <t xml:space="preserve">Andy Bachman</t>
  </si>
  <si>
    <t xml:space="preserve">Pitch yourself as a guest (pro-sports S&amp;C coach + Prime documentary + creator economy)</t>
  </si>
  <si>
    <t xml:space="preserve">Open</t>
  </si>
  <si>
    <t xml:space="preserve">Supercreator Telegram + podcast</t>
  </si>
  <si>
    <t xml:space="preserve">Ongoing</t>
  </si>
  <si>
    <t xml:space="preserve">Agency owners</t>
  </si>
  <si>
    <t xml:space="preserve">Partner listing / guest slot</t>
  </si>
  <si>
    <t xml:space="preserve">Daily</t>
  </si>
  <si>
    <t xml:space="preserve">Founders/CEOs on the Acquirers tab</t>
  </si>
  <si>
    <t xml:space="preserve">Connect note, then Email 2 content as a message</t>
  </si>
  <si>
    <t xml:space="preserve">What TTS is worth to an agency — plug their numbers in on the call (inputs blue/yellow; outputs are formulas)</t>
  </si>
  <si>
    <t xml:space="preserve">Frame: TTS is a zero-labor top-of-funnel. Each creator on the weekly board gets a profile that routes voters to her link hub. Token prizes are upside — enter 0 unless you have the verified figure.</t>
  </si>
  <si>
    <t xml:space="preserve">INPUTS</t>
  </si>
  <si>
    <t xml:space="preserve">Weekly active voters on the board (YOUR live number — replace)</t>
  </si>
  <si>
    <t xml:space="preserve">Pull from admin; example value only</t>
  </si>
  <si>
    <t xml:space="preserve">Creators on the board in a typical round</t>
  </si>
  <si>
    <t xml:space="preserve">Example value</t>
  </si>
  <si>
    <t xml:space="preserve">Share of voters who view a given creator's profile</t>
  </si>
  <si>
    <t xml:space="preserve">Assumption — measure in-app</t>
  </si>
  <si>
    <t xml:space="preserve">Profile → link-hub click-through</t>
  </si>
  <si>
    <t xml:space="preserve">Assumption — add UTM to each hub link and measure</t>
  </si>
  <si>
    <t xml:space="preserve">Link-hub → paid subscription conversion</t>
  </si>
  <si>
    <t xml:space="preserve">Assumption; agencies know their own number — ask</t>
  </si>
  <si>
    <t xml:space="preserve">Average subscription price ($/mo)</t>
  </si>
  <si>
    <t xml:space="preserve">Agency input</t>
  </si>
  <si>
    <t xml:space="preserve">Platform fee (OnlyFans keeps 20%)</t>
  </si>
  <si>
    <t xml:space="preserve">OnlyFans standard split</t>
  </si>
  <si>
    <t xml:space="preserve">Agency share of creator NET revenue</t>
  </si>
  <si>
    <t xml:space="preserve">Industry range roughly 20-50% — agency input</t>
  </si>
  <si>
    <t xml:space="preserve">Average months a new sub stays</t>
  </si>
  <si>
    <t xml:space="preserve">Agency labor per creator per week (hours) to participate</t>
  </si>
  <si>
    <t xml:space="preserve">Uploading a photo + posting the vote link</t>
  </si>
  <si>
    <t xml:space="preserve">Agency labor cost ($/hour)</t>
  </si>
  <si>
    <t xml:space="preserve">Creators the agency enters per week</t>
  </si>
  <si>
    <t xml:space="preserve">The ask</t>
  </si>
  <si>
    <t xml:space="preserve">Expected token/prize value per creator per week ($) — VERIFIED figure only, else 0</t>
  </si>
  <si>
    <t xml:space="preserve">Leave 0 until the prize split is confirmed; never promise a pool size</t>
  </si>
  <si>
    <t xml:space="preserve">Fans each entered creator brings in as voters per week</t>
  </si>
  <si>
    <t xml:space="preserve">Assumption — the network effect: every roster brings its own voters</t>
  </si>
  <si>
    <t xml:space="preserve">Share of those fans who sign up through the agency's referral link</t>
  </si>
  <si>
    <t xml:space="preserve">Assumption</t>
  </si>
  <si>
    <t xml:space="preserve">Referral payout per referred signup (TTS) — VERIFIED figure only, else 0</t>
  </si>
  <si>
    <t xml:space="preserve">Verify in admin before quoting</t>
  </si>
  <si>
    <t xml:space="preserve">TTS price used for valuation ($) — pool-realizable price, else 0</t>
  </si>
  <si>
    <t xml:space="preserve">Only value what the pool can absorb</t>
  </si>
  <si>
    <t xml:space="preserve">OUTPUTS (per creator per week unless stated)</t>
  </si>
  <si>
    <t xml:space="preserve">Effective weekly voters (base + fans the entered creators bring)</t>
  </si>
  <si>
    <t xml:space="preserve">Profile views per creator per week</t>
  </si>
  <si>
    <t xml:space="preserve">Link-hub clicks per creator per week</t>
  </si>
  <si>
    <t xml:space="preserve">New paid subs per creator per week</t>
  </si>
  <si>
    <t xml:space="preserve">Creator gross from those subs over their lifetime ($)</t>
  </si>
  <si>
    <t xml:space="preserve">Creator net after platform fee ($)</t>
  </si>
  <si>
    <t xml:space="preserve">Agency revenue from those subs ($)</t>
  </si>
  <si>
    <t xml:space="preserve">Agency labor cost per creator per week ($)</t>
  </si>
  <si>
    <t xml:space="preserve">Agency net per creator per week, subs only ($)</t>
  </si>
  <si>
    <t xml:space="preserve">Agency referral revenue per creator per week ($)</t>
  </si>
  <si>
    <t xml:space="preserve">Agency net per creator per week incl. referral + verified prize share ($)</t>
  </si>
  <si>
    <t xml:space="preserve">Agency weekly net for the creators entered ($)</t>
  </si>
  <si>
    <t xml:space="preserve">Agency annualized net ($) — 52 rounds</t>
  </si>
  <si>
    <t xml:space="preserve">Break-even link-hub→sub conversion (labor covered, subs only)</t>
  </si>
  <si>
    <t xml:space="preserve">Return on labor (net ÷ labor cost)</t>
  </si>
  <si>
    <t xml:space="preserve">How to use on a call: ask for THEIR sub price, agency share and hub→sub conversion, leave the TTS-side assumptions as-is, and read rows 35-36 back to them. If row 37 (break-even conversion) is below their real conversion, participation pays at zero prize value.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</si>
</sst>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mmm\ d&quot;, &quot;yyyy"/>
    <numFmt numFmtId="166" formatCode="0"/>
    <numFmt numFmtId="167" formatCode="0%"/>
    <numFmt numFmtId="168" formatCode="ddd\ mmm\ d"/>
    <numFmt numFmtId="169" formatCode="mmm\ d"/>
    <numFmt numFmtId="170" formatCode="General"/>
    <numFmt numFmtId="171" formatCode="0.0\x"/>
    <numFmt numFmtId="172" formatCode="hh:mm"/>
    <numFmt numFmtId="173" formatCode="0.0"/>
    <numFmt numFmtId="174" formatCode="0.0%"/>
    <numFmt numFmtId="175" formatCode="\$#,##0.00"/>
    <numFmt numFmtId="176" formatCode="0.00"/>
    <numFmt numFmtId="177" formatCode="#,##0"/>
    <numFmt numFmtId="178" formatCode="\$#,##0.0000"/>
    <numFmt numFmtId="179" formatCode="#,##0.0"/>
    <numFmt numFmtId="180" formatCode="#,##0.00"/>
    <numFmt numFmtId="181" formatCode="\$#,##0"/>
    <numFmt numFmtId="182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3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6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8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9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0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82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4" min="3" style="0" width="40"/>
  </cols>
  <sheetData>
    <row r="1" customFormat="false" ht="17.35" hidden="false" customHeight="false" outlineLevel="0" collapsed="false">
      <c r="A1" s="1" t="s">
        <v>0</v>
      </c>
    </row>
    <row r="2" customFormat="false" ht="46.2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DATE(2026,10,16)</f>
        <v>46311</v>
      </c>
    </row>
    <row r="6" customFormat="false" ht="15" hidden="false" customHeight="false" outlineLevel="0" collapsed="false">
      <c r="A6" s="4" t="s">
        <v>4</v>
      </c>
      <c r="B6" s="6" t="n">
        <f aca="true">MAX(0,B5-TODAY())</f>
        <v>22</v>
      </c>
    </row>
    <row r="7" customFormat="false" ht="15" hidden="false" customHeight="false" outlineLevel="0" collapsed="false">
      <c r="A7" s="4" t="s">
        <v>5</v>
      </c>
      <c r="B7" s="6" t="n">
        <f aca="false">COUNTA(Plan!A2:A200)</f>
        <v>65</v>
      </c>
    </row>
    <row r="8" customFormat="false" ht="15" hidden="false" customHeight="false" outlineLevel="0" collapsed="false">
      <c r="A8" s="4" t="s">
        <v>6</v>
      </c>
      <c r="B8" s="6" t="n">
        <f aca="false">COUNTIF(Plan!I2:I200,"Done")</f>
        <v>0</v>
      </c>
    </row>
    <row r="9" customFormat="false" ht="15" hidden="false" customHeight="false" outlineLevel="0" collapsed="false">
      <c r="A9" s="4" t="s">
        <v>7</v>
      </c>
      <c r="B9" s="7" t="n">
        <f aca="false">IF(B7=0,0,B8/B7)</f>
        <v>0</v>
      </c>
    </row>
    <row r="10" customFormat="false" ht="15" hidden="false" customHeight="false" outlineLevel="0" collapsed="false">
      <c r="A10" s="4" t="s">
        <v>8</v>
      </c>
      <c r="B10" s="6" t="n">
        <f aca="false">COUNTIF(Acquirers!A2:A100,"A*")</f>
        <v>13</v>
      </c>
    </row>
    <row r="11" customFormat="false" ht="15" hidden="false" customHeight="false" outlineLevel="0" collapsed="false">
      <c r="A11" s="4" t="s">
        <v>9</v>
      </c>
      <c r="B11" s="6" t="n">
        <f aca="false">COUNTIF(Acquirers!Q2:Q100,"Meeting*")+COUNTIF(Acquirers!Q2:Q100,"NDA*")+COUNTIF(Acquirers!Q2:Q100,"Offer*")</f>
        <v>0</v>
      </c>
    </row>
    <row r="12" customFormat="false" ht="15" hidden="false" customHeight="false" outlineLevel="0" collapsed="false">
      <c r="A12" s="4" t="s">
        <v>10</v>
      </c>
      <c r="B12" s="6" t="n">
        <f aca="false">COUNT(Targets!A2:A200)</f>
        <v>51</v>
      </c>
    </row>
    <row r="14" customFormat="false" ht="15" hidden="false" customHeight="false" outlineLevel="0" collapsed="false">
      <c r="A14" s="8"/>
      <c r="B14" s="8"/>
      <c r="C14" s="8"/>
      <c r="D14" s="8"/>
    </row>
    <row r="15" customFormat="false" ht="15" hidden="false" customHeight="true" outlineLevel="0" collapsed="false">
      <c r="A15" s="9" t="s">
        <v>11</v>
      </c>
      <c r="B15" s="9"/>
      <c r="C15" s="9"/>
      <c r="D15" s="9"/>
    </row>
    <row r="16" customFormat="false" ht="30" hidden="false" customHeight="true" outlineLevel="0" collapsed="false">
      <c r="A16" s="8" t="s">
        <v>12</v>
      </c>
      <c r="B16" s="8"/>
      <c r="C16" s="8"/>
      <c r="D16" s="8"/>
    </row>
    <row r="17" customFormat="false" ht="30" hidden="false" customHeight="true" outlineLevel="0" collapsed="false">
      <c r="A17" s="8" t="s">
        <v>13</v>
      </c>
      <c r="B17" s="8"/>
      <c r="C17" s="8"/>
      <c r="D17" s="8"/>
    </row>
    <row r="18" customFormat="false" ht="15" hidden="false" customHeight="true" outlineLevel="0" collapsed="false">
      <c r="A18" s="8" t="s">
        <v>14</v>
      </c>
      <c r="B18" s="8"/>
      <c r="C18" s="8"/>
      <c r="D18" s="8"/>
    </row>
    <row r="19" customFormat="false" ht="30" hidden="false" customHeight="true" outlineLevel="0" collapsed="false">
      <c r="A19" s="8" t="s">
        <v>15</v>
      </c>
      <c r="B19" s="8"/>
      <c r="C19" s="8"/>
      <c r="D19" s="8"/>
    </row>
    <row r="20" customFormat="false" ht="15" hidden="false" customHeight="false" outlineLevel="0" collapsed="false">
      <c r="A20" s="8"/>
      <c r="B20" s="8"/>
      <c r="C20" s="8"/>
      <c r="D20" s="8"/>
    </row>
    <row r="21" customFormat="false" ht="15" hidden="false" customHeight="true" outlineLevel="0" collapsed="false">
      <c r="A21" s="9" t="s">
        <v>16</v>
      </c>
      <c r="B21" s="9"/>
      <c r="C21" s="9"/>
      <c r="D21" s="9"/>
    </row>
    <row r="22" customFormat="false" ht="30" hidden="false" customHeight="true" outlineLevel="0" collapsed="false">
      <c r="A22" s="8" t="s">
        <v>17</v>
      </c>
      <c r="B22" s="8"/>
      <c r="C22" s="8"/>
      <c r="D22" s="8"/>
    </row>
    <row r="23" customFormat="false" ht="15" hidden="false" customHeight="false" outlineLevel="0" collapsed="false">
      <c r="A23" s="8"/>
      <c r="B23" s="8"/>
      <c r="C23" s="8"/>
      <c r="D23" s="8"/>
    </row>
    <row r="24" customFormat="false" ht="15" hidden="false" customHeight="true" outlineLevel="0" collapsed="false">
      <c r="A24" s="9" t="s">
        <v>18</v>
      </c>
      <c r="B24" s="9"/>
      <c r="C24" s="9"/>
      <c r="D24" s="9"/>
    </row>
    <row r="25" customFormat="false" ht="45" hidden="false" customHeight="true" outlineLevel="0" collapsed="false">
      <c r="A25" s="8" t="s">
        <v>19</v>
      </c>
      <c r="B25" s="8"/>
      <c r="C25" s="8"/>
      <c r="D25" s="8"/>
    </row>
    <row r="26" customFormat="false" ht="30" hidden="false" customHeight="true" outlineLevel="0" collapsed="false">
      <c r="A26" s="8" t="s">
        <v>20</v>
      </c>
      <c r="B26" s="8"/>
      <c r="C26" s="8"/>
      <c r="D26" s="8"/>
    </row>
    <row r="27" customFormat="false" ht="15" hidden="false" customHeight="false" outlineLevel="0" collapsed="false">
      <c r="A27" s="8"/>
      <c r="B27" s="8"/>
      <c r="C27" s="8"/>
      <c r="D27" s="8"/>
    </row>
    <row r="28" customFormat="false" ht="15" hidden="false" customHeight="true" outlineLevel="0" collapsed="false">
      <c r="A28" s="9" t="s">
        <v>21</v>
      </c>
      <c r="B28" s="9"/>
      <c r="C28" s="9"/>
      <c r="D28" s="9"/>
    </row>
    <row r="29" customFormat="false" ht="45" hidden="false" customHeight="true" outlineLevel="0" collapsed="false">
      <c r="A29" s="8" t="s">
        <v>22</v>
      </c>
      <c r="B29" s="8"/>
      <c r="C29" s="8"/>
      <c r="D29" s="8"/>
    </row>
  </sheetData>
  <mergeCells count="16"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44"/>
    <col collapsed="false" customWidth="true" hidden="false" outlineLevel="0" max="8" min="8" style="0" width="70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30"/>
  </cols>
  <sheetData>
    <row r="1" customFormat="false" ht="23.85" hidden="false" customHeight="false" outlineLevel="0" collapsed="false">
      <c r="A1" s="10" t="s">
        <v>23</v>
      </c>
      <c r="B1" s="10" t="s">
        <v>24</v>
      </c>
      <c r="C1" s="10" t="s">
        <v>25</v>
      </c>
      <c r="D1" s="10" t="s">
        <v>26</v>
      </c>
      <c r="E1" s="10" t="s">
        <v>27</v>
      </c>
      <c r="F1" s="10" t="s">
        <v>28</v>
      </c>
      <c r="G1" s="10" t="s">
        <v>29</v>
      </c>
      <c r="H1" s="10" t="s">
        <v>30</v>
      </c>
      <c r="I1" s="10" t="s">
        <v>31</v>
      </c>
      <c r="J1" s="10" t="s">
        <v>32</v>
      </c>
      <c r="K1" s="10" t="s">
        <v>33</v>
      </c>
    </row>
    <row r="2" customFormat="false" ht="35.05" hidden="false" customHeight="false" outlineLevel="0" collapsed="false">
      <c r="A2" s="11" t="s">
        <v>34</v>
      </c>
      <c r="B2" s="12" t="n">
        <v>46289</v>
      </c>
      <c r="C2" s="11" t="str">
        <f aca="false">TEXT(B2,"ddd")</f>
        <v>Thu</v>
      </c>
      <c r="D2" s="11" t="s">
        <v>35</v>
      </c>
      <c r="E2" s="11" t="s">
        <v>36</v>
      </c>
      <c r="F2" s="11" t="s">
        <v>37</v>
      </c>
      <c r="G2" s="11" t="s">
        <v>38</v>
      </c>
      <c r="H2" s="11" t="s">
        <v>39</v>
      </c>
      <c r="I2" s="13" t="s">
        <v>40</v>
      </c>
      <c r="J2" s="14"/>
      <c r="K2" s="11"/>
    </row>
    <row r="3" customFormat="false" ht="23.85" hidden="false" customHeight="false" outlineLevel="0" collapsed="false">
      <c r="A3" s="11" t="s">
        <v>41</v>
      </c>
      <c r="B3" s="12" t="n">
        <v>46289</v>
      </c>
      <c r="C3" s="11" t="str">
        <f aca="false">TEXT(B3,"ddd")</f>
        <v>Thu</v>
      </c>
      <c r="D3" s="11" t="s">
        <v>42</v>
      </c>
      <c r="E3" s="11" t="s">
        <v>36</v>
      </c>
      <c r="F3" s="11" t="s">
        <v>43</v>
      </c>
      <c r="G3" s="11" t="s">
        <v>44</v>
      </c>
      <c r="H3" s="11" t="s">
        <v>45</v>
      </c>
      <c r="I3" s="13" t="s">
        <v>40</v>
      </c>
      <c r="J3" s="14"/>
      <c r="K3" s="11"/>
    </row>
    <row r="4" customFormat="false" ht="35.05" hidden="false" customHeight="false" outlineLevel="0" collapsed="false">
      <c r="A4" s="11" t="s">
        <v>46</v>
      </c>
      <c r="B4" s="12" t="n">
        <v>46289</v>
      </c>
      <c r="C4" s="11" t="str">
        <f aca="false">TEXT(B4,"ddd")</f>
        <v>Thu</v>
      </c>
      <c r="D4" s="11" t="s">
        <v>47</v>
      </c>
      <c r="E4" s="11" t="s">
        <v>36</v>
      </c>
      <c r="F4" s="11" t="s">
        <v>37</v>
      </c>
      <c r="G4" s="11" t="s">
        <v>48</v>
      </c>
      <c r="H4" s="11" t="s">
        <v>49</v>
      </c>
      <c r="I4" s="13" t="s">
        <v>40</v>
      </c>
      <c r="J4" s="14"/>
      <c r="K4" s="11"/>
    </row>
    <row r="5" customFormat="false" ht="23.85" hidden="false" customHeight="false" outlineLevel="0" collapsed="false">
      <c r="A5" s="11" t="s">
        <v>50</v>
      </c>
      <c r="B5" s="12" t="n">
        <v>46290</v>
      </c>
      <c r="C5" s="11" t="str">
        <f aca="false">TEXT(B5,"ddd")</f>
        <v>Fri</v>
      </c>
      <c r="D5" s="11" t="s">
        <v>51</v>
      </c>
      <c r="E5" s="11" t="s">
        <v>52</v>
      </c>
      <c r="F5" s="11" t="s">
        <v>37</v>
      </c>
      <c r="G5" s="11" t="s">
        <v>53</v>
      </c>
      <c r="H5" s="11" t="s">
        <v>54</v>
      </c>
      <c r="I5" s="13" t="s">
        <v>40</v>
      </c>
      <c r="J5" s="14"/>
      <c r="K5" s="11"/>
    </row>
    <row r="6" customFormat="false" ht="35.05" hidden="false" customHeight="false" outlineLevel="0" collapsed="false">
      <c r="A6" s="11" t="s">
        <v>55</v>
      </c>
      <c r="B6" s="12" t="n">
        <v>46290</v>
      </c>
      <c r="C6" s="11" t="str">
        <f aca="false">TEXT(B6,"ddd")</f>
        <v>Fri</v>
      </c>
      <c r="D6" s="11" t="s">
        <v>56</v>
      </c>
      <c r="E6" s="11" t="s">
        <v>36</v>
      </c>
      <c r="F6" s="11" t="s">
        <v>57</v>
      </c>
      <c r="G6" s="11" t="s">
        <v>58</v>
      </c>
      <c r="H6" s="11" t="s">
        <v>59</v>
      </c>
      <c r="I6" s="13" t="s">
        <v>40</v>
      </c>
      <c r="J6" s="14"/>
      <c r="K6" s="11"/>
    </row>
    <row r="7" customFormat="false" ht="35.05" hidden="false" customHeight="false" outlineLevel="0" collapsed="false">
      <c r="A7" s="11" t="s">
        <v>60</v>
      </c>
      <c r="B7" s="12" t="n">
        <v>46290</v>
      </c>
      <c r="C7" s="11" t="str">
        <f aca="false">TEXT(B7,"ddd")</f>
        <v>Fri</v>
      </c>
      <c r="D7" s="11" t="s">
        <v>61</v>
      </c>
      <c r="E7" s="11" t="s">
        <v>36</v>
      </c>
      <c r="F7" s="11" t="s">
        <v>62</v>
      </c>
      <c r="G7" s="11" t="s">
        <v>63</v>
      </c>
      <c r="H7" s="11" t="s">
        <v>64</v>
      </c>
      <c r="I7" s="13" t="s">
        <v>40</v>
      </c>
      <c r="J7" s="14"/>
      <c r="K7" s="11"/>
    </row>
    <row r="8" customFormat="false" ht="23.85" hidden="false" customHeight="false" outlineLevel="0" collapsed="false">
      <c r="A8" s="11" t="s">
        <v>65</v>
      </c>
      <c r="B8" s="12" t="n">
        <v>46290</v>
      </c>
      <c r="C8" s="11" t="str">
        <f aca="false">TEXT(B8,"ddd")</f>
        <v>Fri</v>
      </c>
      <c r="D8" s="11" t="s">
        <v>66</v>
      </c>
      <c r="E8" s="11" t="s">
        <v>36</v>
      </c>
      <c r="F8" s="11" t="s">
        <v>67</v>
      </c>
      <c r="G8" s="11" t="s">
        <v>68</v>
      </c>
      <c r="H8" s="11" t="s">
        <v>69</v>
      </c>
      <c r="I8" s="13" t="s">
        <v>40</v>
      </c>
      <c r="J8" s="14"/>
      <c r="K8" s="11"/>
    </row>
    <row r="9" customFormat="false" ht="23.85" hidden="false" customHeight="false" outlineLevel="0" collapsed="false">
      <c r="A9" s="11" t="s">
        <v>70</v>
      </c>
      <c r="B9" s="12" t="n">
        <v>46290</v>
      </c>
      <c r="C9" s="11" t="str">
        <f aca="false">TEXT(B9,"ddd")</f>
        <v>Fri</v>
      </c>
      <c r="D9" s="11" t="s">
        <v>71</v>
      </c>
      <c r="E9" s="11" t="s">
        <v>36</v>
      </c>
      <c r="F9" s="11" t="s">
        <v>72</v>
      </c>
      <c r="G9" s="11" t="s">
        <v>73</v>
      </c>
      <c r="H9" s="11" t="s">
        <v>74</v>
      </c>
      <c r="I9" s="13" t="s">
        <v>40</v>
      </c>
      <c r="J9" s="14"/>
      <c r="K9" s="11"/>
    </row>
    <row r="10" customFormat="false" ht="23.85" hidden="false" customHeight="false" outlineLevel="0" collapsed="false">
      <c r="A10" s="11" t="s">
        <v>75</v>
      </c>
      <c r="B10" s="12" t="n">
        <v>46290</v>
      </c>
      <c r="C10" s="11" t="str">
        <f aca="false">TEXT(B10,"ddd")</f>
        <v>Fri</v>
      </c>
      <c r="D10" s="11" t="s">
        <v>76</v>
      </c>
      <c r="E10" s="11" t="s">
        <v>36</v>
      </c>
      <c r="F10" s="11" t="s">
        <v>67</v>
      </c>
      <c r="G10" s="11" t="s">
        <v>77</v>
      </c>
      <c r="H10" s="11" t="s">
        <v>78</v>
      </c>
      <c r="I10" s="13" t="s">
        <v>40</v>
      </c>
      <c r="J10" s="14"/>
      <c r="K10" s="11"/>
    </row>
    <row r="11" customFormat="false" ht="23.85" hidden="false" customHeight="false" outlineLevel="0" collapsed="false">
      <c r="A11" s="11" t="s">
        <v>79</v>
      </c>
      <c r="B11" s="12" t="n">
        <v>46290</v>
      </c>
      <c r="C11" s="11" t="str">
        <f aca="false">TEXT(B11,"ddd")</f>
        <v>Fri</v>
      </c>
      <c r="D11" s="11" t="s">
        <v>80</v>
      </c>
      <c r="E11" s="11" t="s">
        <v>81</v>
      </c>
      <c r="F11" s="11" t="s">
        <v>67</v>
      </c>
      <c r="G11" s="11" t="s">
        <v>82</v>
      </c>
      <c r="H11" s="11" t="s">
        <v>83</v>
      </c>
      <c r="I11" s="13" t="s">
        <v>40</v>
      </c>
      <c r="J11" s="14"/>
      <c r="K11" s="11"/>
    </row>
    <row r="12" customFormat="false" ht="23.85" hidden="false" customHeight="false" outlineLevel="0" collapsed="false">
      <c r="A12" s="11" t="s">
        <v>84</v>
      </c>
      <c r="B12" s="12" t="n">
        <v>46290</v>
      </c>
      <c r="C12" s="11" t="str">
        <f aca="false">TEXT(B12,"ddd")</f>
        <v>Fri</v>
      </c>
      <c r="D12" s="11" t="s">
        <v>85</v>
      </c>
      <c r="E12" s="11" t="s">
        <v>36</v>
      </c>
      <c r="F12" s="11" t="s">
        <v>72</v>
      </c>
      <c r="G12" s="11" t="s">
        <v>86</v>
      </c>
      <c r="H12" s="11" t="s">
        <v>87</v>
      </c>
      <c r="I12" s="13" t="s">
        <v>40</v>
      </c>
      <c r="J12" s="14"/>
      <c r="K12" s="11"/>
    </row>
    <row r="13" customFormat="false" ht="23.85" hidden="false" customHeight="false" outlineLevel="0" collapsed="false">
      <c r="A13" s="11" t="s">
        <v>88</v>
      </c>
      <c r="B13" s="12" t="n">
        <v>46290</v>
      </c>
      <c r="C13" s="11" t="str">
        <f aca="false">TEXT(B13,"ddd")</f>
        <v>Fri</v>
      </c>
      <c r="D13" s="11" t="s">
        <v>89</v>
      </c>
      <c r="E13" s="11" t="s">
        <v>36</v>
      </c>
      <c r="F13" s="11" t="s">
        <v>57</v>
      </c>
      <c r="G13" s="11" t="s">
        <v>90</v>
      </c>
      <c r="H13" s="11" t="s">
        <v>91</v>
      </c>
      <c r="I13" s="13" t="s">
        <v>40</v>
      </c>
      <c r="J13" s="14"/>
      <c r="K13" s="11"/>
    </row>
    <row r="14" customFormat="false" ht="23.85" hidden="false" customHeight="false" outlineLevel="0" collapsed="false">
      <c r="A14" s="11" t="s">
        <v>92</v>
      </c>
      <c r="B14" s="12" t="n">
        <v>46290</v>
      </c>
      <c r="C14" s="11" t="str">
        <f aca="false">TEXT(B14,"ddd")</f>
        <v>Fri</v>
      </c>
      <c r="D14" s="11" t="s">
        <v>93</v>
      </c>
      <c r="E14" s="11" t="s">
        <v>36</v>
      </c>
      <c r="F14" s="11" t="s">
        <v>94</v>
      </c>
      <c r="G14" s="11" t="s">
        <v>95</v>
      </c>
      <c r="H14" s="11" t="s">
        <v>96</v>
      </c>
      <c r="I14" s="13" t="s">
        <v>40</v>
      </c>
      <c r="J14" s="14"/>
      <c r="K14" s="11"/>
    </row>
    <row r="15" customFormat="false" ht="15" hidden="false" customHeight="false" outlineLevel="0" collapsed="false">
      <c r="A15" s="11" t="s">
        <v>97</v>
      </c>
      <c r="B15" s="12" t="n">
        <v>46291</v>
      </c>
      <c r="C15" s="11" t="str">
        <f aca="false">TEXT(B15,"ddd")</f>
        <v>Sat</v>
      </c>
      <c r="D15" s="11" t="s">
        <v>71</v>
      </c>
      <c r="E15" s="11" t="s">
        <v>98</v>
      </c>
      <c r="F15" s="11" t="s">
        <v>94</v>
      </c>
      <c r="G15" s="11" t="s">
        <v>99</v>
      </c>
      <c r="H15" s="11" t="s">
        <v>100</v>
      </c>
      <c r="I15" s="13" t="s">
        <v>40</v>
      </c>
      <c r="J15" s="14"/>
      <c r="K15" s="11"/>
    </row>
    <row r="16" customFormat="false" ht="15" hidden="false" customHeight="false" outlineLevel="0" collapsed="false">
      <c r="A16" s="11" t="s">
        <v>101</v>
      </c>
      <c r="B16" s="12" t="n">
        <v>46291</v>
      </c>
      <c r="C16" s="11" t="str">
        <f aca="false">TEXT(B16,"ddd")</f>
        <v>Sat</v>
      </c>
      <c r="D16" s="11" t="s">
        <v>102</v>
      </c>
      <c r="E16" s="11" t="s">
        <v>36</v>
      </c>
      <c r="F16" s="11" t="s">
        <v>94</v>
      </c>
      <c r="G16" s="11" t="s">
        <v>103</v>
      </c>
      <c r="H16" s="11" t="s">
        <v>104</v>
      </c>
      <c r="I16" s="13" t="s">
        <v>40</v>
      </c>
      <c r="J16" s="14"/>
      <c r="K16" s="11"/>
    </row>
    <row r="17" customFormat="false" ht="23.85" hidden="false" customHeight="false" outlineLevel="0" collapsed="false">
      <c r="A17" s="11" t="s">
        <v>105</v>
      </c>
      <c r="B17" s="12" t="n">
        <v>46292</v>
      </c>
      <c r="C17" s="11" t="str">
        <f aca="false">TEXT(B17,"ddd")</f>
        <v>Sun</v>
      </c>
      <c r="D17" s="11" t="s">
        <v>106</v>
      </c>
      <c r="E17" s="11" t="s">
        <v>36</v>
      </c>
      <c r="F17" s="11" t="s">
        <v>107</v>
      </c>
      <c r="G17" s="11" t="s">
        <v>108</v>
      </c>
      <c r="H17" s="11" t="s">
        <v>109</v>
      </c>
      <c r="I17" s="13" t="s">
        <v>40</v>
      </c>
      <c r="J17" s="14"/>
      <c r="K17" s="11"/>
    </row>
    <row r="18" customFormat="false" ht="15" hidden="false" customHeight="false" outlineLevel="0" collapsed="false">
      <c r="A18" s="11" t="s">
        <v>110</v>
      </c>
      <c r="B18" s="12" t="n">
        <v>46292</v>
      </c>
      <c r="C18" s="11" t="str">
        <f aca="false">TEXT(B18,"ddd")</f>
        <v>Sun</v>
      </c>
      <c r="D18" s="11" t="s">
        <v>111</v>
      </c>
      <c r="E18" s="11" t="s">
        <v>36</v>
      </c>
      <c r="F18" s="11" t="s">
        <v>107</v>
      </c>
      <c r="G18" s="11" t="s">
        <v>112</v>
      </c>
      <c r="H18" s="11" t="s">
        <v>113</v>
      </c>
      <c r="I18" s="13" t="s">
        <v>40</v>
      </c>
      <c r="J18" s="14"/>
      <c r="K18" s="11"/>
    </row>
    <row r="19" customFormat="false" ht="23.85" hidden="false" customHeight="false" outlineLevel="0" collapsed="false">
      <c r="A19" s="11" t="s">
        <v>114</v>
      </c>
      <c r="B19" s="12" t="n">
        <v>46293</v>
      </c>
      <c r="C19" s="11" t="str">
        <f aca="false">TEXT(B19,"ddd")</f>
        <v>Mon</v>
      </c>
      <c r="D19" s="11" t="s">
        <v>51</v>
      </c>
      <c r="E19" s="11" t="s">
        <v>52</v>
      </c>
      <c r="F19" s="11" t="s">
        <v>72</v>
      </c>
      <c r="G19" s="11" t="s">
        <v>115</v>
      </c>
      <c r="H19" s="11" t="s">
        <v>116</v>
      </c>
      <c r="I19" s="13" t="s">
        <v>40</v>
      </c>
      <c r="J19" s="14"/>
      <c r="K19" s="11"/>
    </row>
    <row r="20" customFormat="false" ht="23.85" hidden="false" customHeight="false" outlineLevel="0" collapsed="false">
      <c r="A20" s="11" t="s">
        <v>117</v>
      </c>
      <c r="B20" s="12" t="n">
        <v>46293</v>
      </c>
      <c r="C20" s="11" t="str">
        <f aca="false">TEXT(B20,"ddd")</f>
        <v>Mon</v>
      </c>
      <c r="D20" s="11" t="s">
        <v>61</v>
      </c>
      <c r="E20" s="11" t="s">
        <v>81</v>
      </c>
      <c r="F20" s="11" t="s">
        <v>62</v>
      </c>
      <c r="G20" s="11" t="s">
        <v>118</v>
      </c>
      <c r="H20" s="11" t="s">
        <v>119</v>
      </c>
      <c r="I20" s="13" t="s">
        <v>40</v>
      </c>
      <c r="J20" s="14"/>
      <c r="K20" s="11"/>
    </row>
    <row r="21" customFormat="false" ht="15" hidden="false" customHeight="false" outlineLevel="0" collapsed="false">
      <c r="A21" s="11" t="s">
        <v>120</v>
      </c>
      <c r="B21" s="12" t="n">
        <v>46293</v>
      </c>
      <c r="C21" s="11" t="str">
        <f aca="false">TEXT(B21,"ddd")</f>
        <v>Mon</v>
      </c>
      <c r="D21" s="11" t="s">
        <v>71</v>
      </c>
      <c r="E21" s="11" t="s">
        <v>36</v>
      </c>
      <c r="F21" s="11" t="s">
        <v>67</v>
      </c>
      <c r="G21" s="11" t="s">
        <v>121</v>
      </c>
      <c r="H21" s="11" t="s">
        <v>122</v>
      </c>
      <c r="I21" s="13" t="s">
        <v>40</v>
      </c>
      <c r="J21" s="14"/>
      <c r="K21" s="11"/>
    </row>
    <row r="22" customFormat="false" ht="23.85" hidden="false" customHeight="false" outlineLevel="0" collapsed="false">
      <c r="A22" s="11" t="s">
        <v>123</v>
      </c>
      <c r="B22" s="12" t="n">
        <v>46293</v>
      </c>
      <c r="C22" s="11" t="str">
        <f aca="false">TEXT(B22,"ddd")</f>
        <v>Mon</v>
      </c>
      <c r="D22" s="11" t="s">
        <v>106</v>
      </c>
      <c r="E22" s="11" t="s">
        <v>98</v>
      </c>
      <c r="F22" s="11" t="s">
        <v>94</v>
      </c>
      <c r="G22" s="11" t="s">
        <v>124</v>
      </c>
      <c r="H22" s="11" t="s">
        <v>125</v>
      </c>
      <c r="I22" s="13" t="s">
        <v>40</v>
      </c>
      <c r="J22" s="14"/>
      <c r="K22" s="11"/>
    </row>
    <row r="23" customFormat="false" ht="23.85" hidden="false" customHeight="false" outlineLevel="0" collapsed="false">
      <c r="A23" s="11" t="s">
        <v>126</v>
      </c>
      <c r="B23" s="12" t="n">
        <v>46293</v>
      </c>
      <c r="C23" s="11" t="str">
        <f aca="false">TEXT(B23,"ddd")</f>
        <v>Mon</v>
      </c>
      <c r="D23" s="11" t="s">
        <v>102</v>
      </c>
      <c r="E23" s="11" t="s">
        <v>36</v>
      </c>
      <c r="F23" s="11" t="s">
        <v>57</v>
      </c>
      <c r="G23" s="11" t="s">
        <v>127</v>
      </c>
      <c r="H23" s="11" t="s">
        <v>128</v>
      </c>
      <c r="I23" s="13" t="s">
        <v>40</v>
      </c>
      <c r="J23" s="14"/>
      <c r="K23" s="11"/>
    </row>
    <row r="24" customFormat="false" ht="23.85" hidden="false" customHeight="false" outlineLevel="0" collapsed="false">
      <c r="A24" s="11" t="s">
        <v>129</v>
      </c>
      <c r="B24" s="12" t="n">
        <v>46294</v>
      </c>
      <c r="C24" s="11" t="str">
        <f aca="false">TEXT(B24,"ddd")</f>
        <v>Tue</v>
      </c>
      <c r="D24" s="11" t="s">
        <v>71</v>
      </c>
      <c r="E24" s="11" t="s">
        <v>36</v>
      </c>
      <c r="F24" s="11" t="s">
        <v>130</v>
      </c>
      <c r="G24" s="11" t="s">
        <v>131</v>
      </c>
      <c r="H24" s="11" t="s">
        <v>132</v>
      </c>
      <c r="I24" s="13" t="s">
        <v>40</v>
      </c>
      <c r="J24" s="14"/>
      <c r="K24" s="11"/>
    </row>
    <row r="25" customFormat="false" ht="15" hidden="false" customHeight="false" outlineLevel="0" collapsed="false">
      <c r="A25" s="11" t="s">
        <v>133</v>
      </c>
      <c r="B25" s="12" t="n">
        <v>46294</v>
      </c>
      <c r="C25" s="11" t="str">
        <f aca="false">TEXT(B25,"ddd")</f>
        <v>Tue</v>
      </c>
      <c r="D25" s="11" t="s">
        <v>106</v>
      </c>
      <c r="E25" s="11" t="s">
        <v>36</v>
      </c>
      <c r="F25" s="11" t="s">
        <v>107</v>
      </c>
      <c r="G25" s="11" t="s">
        <v>134</v>
      </c>
      <c r="H25" s="11" t="s">
        <v>135</v>
      </c>
      <c r="I25" s="13" t="s">
        <v>40</v>
      </c>
      <c r="J25" s="14"/>
      <c r="K25" s="11"/>
    </row>
    <row r="26" customFormat="false" ht="23.85" hidden="false" customHeight="false" outlineLevel="0" collapsed="false">
      <c r="A26" s="11" t="s">
        <v>136</v>
      </c>
      <c r="B26" s="12" t="n">
        <v>46294</v>
      </c>
      <c r="C26" s="11" t="str">
        <f aca="false">TEXT(B26,"ddd")</f>
        <v>Tue</v>
      </c>
      <c r="D26" s="11" t="s">
        <v>102</v>
      </c>
      <c r="E26" s="11" t="s">
        <v>36</v>
      </c>
      <c r="F26" s="11" t="s">
        <v>130</v>
      </c>
      <c r="G26" s="11" t="s">
        <v>137</v>
      </c>
      <c r="H26" s="11" t="s">
        <v>138</v>
      </c>
      <c r="I26" s="13" t="s">
        <v>40</v>
      </c>
      <c r="J26" s="14"/>
      <c r="K26" s="11"/>
    </row>
    <row r="27" customFormat="false" ht="15" hidden="false" customHeight="false" outlineLevel="0" collapsed="false">
      <c r="A27" s="11" t="s">
        <v>139</v>
      </c>
      <c r="B27" s="12" t="n">
        <v>46295</v>
      </c>
      <c r="C27" s="11" t="str">
        <f aca="false">TEXT(B27,"ddd")</f>
        <v>Wed</v>
      </c>
      <c r="D27" s="11" t="s">
        <v>71</v>
      </c>
      <c r="E27" s="11" t="s">
        <v>36</v>
      </c>
      <c r="F27" s="11" t="s">
        <v>43</v>
      </c>
      <c r="G27" s="11" t="s">
        <v>140</v>
      </c>
      <c r="H27" s="11" t="s">
        <v>141</v>
      </c>
      <c r="I27" s="13" t="s">
        <v>40</v>
      </c>
      <c r="J27" s="14"/>
      <c r="K27" s="11"/>
    </row>
    <row r="28" customFormat="false" ht="15" hidden="false" customHeight="false" outlineLevel="0" collapsed="false">
      <c r="A28" s="11" t="s">
        <v>142</v>
      </c>
      <c r="B28" s="12" t="n">
        <v>46295</v>
      </c>
      <c r="C28" s="11" t="str">
        <f aca="false">TEXT(B28,"ddd")</f>
        <v>Wed</v>
      </c>
      <c r="D28" s="11" t="s">
        <v>106</v>
      </c>
      <c r="E28" s="11" t="s">
        <v>98</v>
      </c>
      <c r="F28" s="11" t="s">
        <v>94</v>
      </c>
      <c r="G28" s="11" t="s">
        <v>143</v>
      </c>
      <c r="H28" s="11" t="s">
        <v>144</v>
      </c>
      <c r="I28" s="13" t="s">
        <v>40</v>
      </c>
      <c r="J28" s="14"/>
      <c r="K28" s="11"/>
    </row>
    <row r="29" customFormat="false" ht="23.85" hidden="false" customHeight="false" outlineLevel="0" collapsed="false">
      <c r="A29" s="11" t="s">
        <v>145</v>
      </c>
      <c r="B29" s="12" t="n">
        <v>46295</v>
      </c>
      <c r="C29" s="11" t="str">
        <f aca="false">TEXT(B29,"ddd")</f>
        <v>Wed</v>
      </c>
      <c r="D29" s="11" t="s">
        <v>89</v>
      </c>
      <c r="E29" s="11" t="s">
        <v>36</v>
      </c>
      <c r="F29" s="11" t="s">
        <v>130</v>
      </c>
      <c r="G29" s="11" t="s">
        <v>146</v>
      </c>
      <c r="H29" s="11" t="s">
        <v>147</v>
      </c>
      <c r="I29" s="13" t="s">
        <v>40</v>
      </c>
      <c r="J29" s="14"/>
      <c r="K29" s="11"/>
    </row>
    <row r="30" customFormat="false" ht="23.85" hidden="false" customHeight="false" outlineLevel="0" collapsed="false">
      <c r="A30" s="15" t="s">
        <v>148</v>
      </c>
      <c r="B30" s="16" t="n">
        <v>46296</v>
      </c>
      <c r="C30" s="15" t="str">
        <f aca="false">TEXT(B30,"ddd")</f>
        <v>Thu</v>
      </c>
      <c r="D30" s="15" t="s">
        <v>149</v>
      </c>
      <c r="E30" s="15" t="s">
        <v>52</v>
      </c>
      <c r="F30" s="15" t="s">
        <v>130</v>
      </c>
      <c r="G30" s="15" t="s">
        <v>150</v>
      </c>
      <c r="H30" s="15" t="s">
        <v>151</v>
      </c>
      <c r="I30" s="17" t="s">
        <v>40</v>
      </c>
      <c r="J30" s="18"/>
      <c r="K30" s="15"/>
    </row>
    <row r="31" customFormat="false" ht="15" hidden="false" customHeight="false" outlineLevel="0" collapsed="false">
      <c r="A31" s="15" t="s">
        <v>152</v>
      </c>
      <c r="B31" s="16" t="n">
        <v>46296</v>
      </c>
      <c r="C31" s="15" t="str">
        <f aca="false">TEXT(B31,"ddd")</f>
        <v>Thu</v>
      </c>
      <c r="D31" s="15" t="s">
        <v>66</v>
      </c>
      <c r="E31" s="15" t="s">
        <v>36</v>
      </c>
      <c r="F31" s="15" t="s">
        <v>130</v>
      </c>
      <c r="G31" s="15" t="s">
        <v>153</v>
      </c>
      <c r="H31" s="15" t="s">
        <v>154</v>
      </c>
      <c r="I31" s="17" t="s">
        <v>40</v>
      </c>
      <c r="J31" s="18"/>
      <c r="K31" s="15"/>
    </row>
    <row r="32" customFormat="false" ht="23.85" hidden="false" customHeight="false" outlineLevel="0" collapsed="false">
      <c r="A32" s="15" t="s">
        <v>155</v>
      </c>
      <c r="B32" s="16" t="n">
        <v>46296</v>
      </c>
      <c r="C32" s="15" t="str">
        <f aca="false">TEXT(B32,"ddd")</f>
        <v>Thu</v>
      </c>
      <c r="D32" s="15" t="s">
        <v>71</v>
      </c>
      <c r="E32" s="15" t="s">
        <v>36</v>
      </c>
      <c r="F32" s="15" t="s">
        <v>130</v>
      </c>
      <c r="G32" s="15" t="s">
        <v>156</v>
      </c>
      <c r="H32" s="15" t="s">
        <v>157</v>
      </c>
      <c r="I32" s="17" t="s">
        <v>40</v>
      </c>
      <c r="J32" s="18"/>
      <c r="K32" s="15"/>
    </row>
    <row r="33" customFormat="false" ht="23.85" hidden="false" customHeight="false" outlineLevel="0" collapsed="false">
      <c r="A33" s="15" t="s">
        <v>158</v>
      </c>
      <c r="B33" s="16" t="n">
        <v>46296</v>
      </c>
      <c r="C33" s="15" t="str">
        <f aca="false">TEXT(B33,"ddd")</f>
        <v>Thu</v>
      </c>
      <c r="D33" s="15" t="s">
        <v>159</v>
      </c>
      <c r="E33" s="15" t="s">
        <v>36</v>
      </c>
      <c r="F33" s="15" t="s">
        <v>130</v>
      </c>
      <c r="G33" s="15" t="s">
        <v>160</v>
      </c>
      <c r="H33" s="15" t="s">
        <v>161</v>
      </c>
      <c r="I33" s="17" t="s">
        <v>40</v>
      </c>
      <c r="J33" s="18"/>
      <c r="K33" s="15"/>
    </row>
    <row r="34" customFormat="false" ht="23.85" hidden="false" customHeight="false" outlineLevel="0" collapsed="false">
      <c r="A34" s="15" t="s">
        <v>162</v>
      </c>
      <c r="B34" s="16" t="n">
        <v>46296</v>
      </c>
      <c r="C34" s="15" t="str">
        <f aca="false">TEXT(B34,"ddd")</f>
        <v>Thu</v>
      </c>
      <c r="D34" s="15" t="s">
        <v>163</v>
      </c>
      <c r="E34" s="15" t="s">
        <v>36</v>
      </c>
      <c r="F34" s="15" t="s">
        <v>130</v>
      </c>
      <c r="G34" s="15" t="s">
        <v>164</v>
      </c>
      <c r="H34" s="15" t="s">
        <v>165</v>
      </c>
      <c r="I34" s="17" t="s">
        <v>40</v>
      </c>
      <c r="J34" s="18"/>
      <c r="K34" s="15"/>
    </row>
    <row r="35" customFormat="false" ht="15" hidden="false" customHeight="false" outlineLevel="0" collapsed="false">
      <c r="A35" s="11" t="s">
        <v>166</v>
      </c>
      <c r="B35" s="12" t="n">
        <v>46297</v>
      </c>
      <c r="C35" s="11" t="str">
        <f aca="false">TEXT(B35,"ddd")</f>
        <v>Fri</v>
      </c>
      <c r="D35" s="11" t="s">
        <v>71</v>
      </c>
      <c r="E35" s="11" t="s">
        <v>36</v>
      </c>
      <c r="F35" s="11" t="s">
        <v>130</v>
      </c>
      <c r="G35" s="11" t="s">
        <v>167</v>
      </c>
      <c r="H35" s="11" t="s">
        <v>168</v>
      </c>
      <c r="I35" s="13" t="s">
        <v>40</v>
      </c>
      <c r="J35" s="14"/>
      <c r="K35" s="11"/>
    </row>
    <row r="36" customFormat="false" ht="15" hidden="false" customHeight="false" outlineLevel="0" collapsed="false">
      <c r="A36" s="11" t="s">
        <v>169</v>
      </c>
      <c r="B36" s="12" t="n">
        <v>46297</v>
      </c>
      <c r="C36" s="11" t="str">
        <f aca="false">TEXT(B36,"ddd")</f>
        <v>Fri</v>
      </c>
      <c r="D36" s="11" t="s">
        <v>163</v>
      </c>
      <c r="E36" s="11" t="s">
        <v>36</v>
      </c>
      <c r="F36" s="11" t="s">
        <v>130</v>
      </c>
      <c r="G36" s="11" t="s">
        <v>170</v>
      </c>
      <c r="H36" s="11" t="s">
        <v>171</v>
      </c>
      <c r="I36" s="13" t="s">
        <v>40</v>
      </c>
      <c r="J36" s="14"/>
      <c r="K36" s="11"/>
    </row>
    <row r="37" customFormat="false" ht="15" hidden="false" customHeight="false" outlineLevel="0" collapsed="false">
      <c r="A37" s="11" t="s">
        <v>172</v>
      </c>
      <c r="B37" s="12" t="n">
        <v>46300</v>
      </c>
      <c r="C37" s="11" t="str">
        <f aca="false">TEXT(B37,"ddd")</f>
        <v>Mon</v>
      </c>
      <c r="D37" s="11" t="s">
        <v>51</v>
      </c>
      <c r="E37" s="11" t="s">
        <v>52</v>
      </c>
      <c r="F37" s="11" t="s">
        <v>72</v>
      </c>
      <c r="G37" s="11" t="s">
        <v>173</v>
      </c>
      <c r="H37" s="11" t="s">
        <v>174</v>
      </c>
      <c r="I37" s="13" t="s">
        <v>40</v>
      </c>
      <c r="J37" s="14"/>
      <c r="K37" s="11"/>
    </row>
    <row r="38" customFormat="false" ht="23.85" hidden="false" customHeight="false" outlineLevel="0" collapsed="false">
      <c r="A38" s="11" t="s">
        <v>175</v>
      </c>
      <c r="B38" s="12" t="n">
        <v>46300</v>
      </c>
      <c r="C38" s="11" t="str">
        <f aca="false">TEXT(B38,"ddd")</f>
        <v>Mon</v>
      </c>
      <c r="D38" s="11" t="s">
        <v>71</v>
      </c>
      <c r="E38" s="11" t="s">
        <v>36</v>
      </c>
      <c r="F38" s="11" t="s">
        <v>130</v>
      </c>
      <c r="G38" s="11" t="s">
        <v>176</v>
      </c>
      <c r="H38" s="11" t="s">
        <v>177</v>
      </c>
      <c r="I38" s="13" t="s">
        <v>40</v>
      </c>
      <c r="J38" s="14"/>
      <c r="K38" s="11"/>
    </row>
    <row r="39" customFormat="false" ht="23.85" hidden="false" customHeight="false" outlineLevel="0" collapsed="false">
      <c r="A39" s="11" t="s">
        <v>178</v>
      </c>
      <c r="B39" s="12" t="n">
        <v>46301</v>
      </c>
      <c r="C39" s="11" t="str">
        <f aca="false">TEXT(B39,"ddd")</f>
        <v>Tue</v>
      </c>
      <c r="D39" s="11" t="s">
        <v>149</v>
      </c>
      <c r="E39" s="11" t="s">
        <v>52</v>
      </c>
      <c r="F39" s="11" t="s">
        <v>130</v>
      </c>
      <c r="G39" s="11" t="s">
        <v>179</v>
      </c>
      <c r="H39" s="11" t="s">
        <v>180</v>
      </c>
      <c r="I39" s="13" t="s">
        <v>40</v>
      </c>
      <c r="J39" s="14"/>
      <c r="K39" s="11"/>
    </row>
    <row r="40" customFormat="false" ht="15" hidden="false" customHeight="false" outlineLevel="0" collapsed="false">
      <c r="A40" s="11" t="s">
        <v>181</v>
      </c>
      <c r="B40" s="12" t="n">
        <v>46301</v>
      </c>
      <c r="C40" s="11" t="str">
        <f aca="false">TEXT(B40,"ddd")</f>
        <v>Tue</v>
      </c>
      <c r="D40" s="11" t="s">
        <v>71</v>
      </c>
      <c r="E40" s="11" t="s">
        <v>36</v>
      </c>
      <c r="F40" s="11" t="s">
        <v>130</v>
      </c>
      <c r="G40" s="11" t="s">
        <v>182</v>
      </c>
      <c r="H40" s="11" t="s">
        <v>183</v>
      </c>
      <c r="I40" s="13" t="s">
        <v>40</v>
      </c>
      <c r="J40" s="14"/>
      <c r="K40" s="11"/>
    </row>
    <row r="41" customFormat="false" ht="23.85" hidden="false" customHeight="false" outlineLevel="0" collapsed="false">
      <c r="A41" s="11" t="s">
        <v>184</v>
      </c>
      <c r="B41" s="12" t="n">
        <v>46302</v>
      </c>
      <c r="C41" s="11" t="str">
        <f aca="false">TEXT(B41,"ddd")</f>
        <v>Wed</v>
      </c>
      <c r="D41" s="11" t="s">
        <v>159</v>
      </c>
      <c r="E41" s="11" t="s">
        <v>36</v>
      </c>
      <c r="F41" s="11" t="s">
        <v>130</v>
      </c>
      <c r="G41" s="11" t="s">
        <v>185</v>
      </c>
      <c r="H41" s="11" t="s">
        <v>186</v>
      </c>
      <c r="I41" s="13" t="s">
        <v>40</v>
      </c>
      <c r="J41" s="14"/>
      <c r="K41" s="11"/>
    </row>
    <row r="42" customFormat="false" ht="15" hidden="false" customHeight="false" outlineLevel="0" collapsed="false">
      <c r="A42" s="11" t="s">
        <v>187</v>
      </c>
      <c r="B42" s="12" t="n">
        <v>46302</v>
      </c>
      <c r="C42" s="11" t="str">
        <f aca="false">TEXT(B42,"ddd")</f>
        <v>Wed</v>
      </c>
      <c r="D42" s="11" t="s">
        <v>188</v>
      </c>
      <c r="E42" s="11" t="s">
        <v>36</v>
      </c>
      <c r="F42" s="11" t="s">
        <v>130</v>
      </c>
      <c r="G42" s="11" t="s">
        <v>189</v>
      </c>
      <c r="H42" s="11" t="s">
        <v>190</v>
      </c>
      <c r="I42" s="13" t="s">
        <v>40</v>
      </c>
      <c r="J42" s="14"/>
      <c r="K42" s="11"/>
    </row>
    <row r="43" customFormat="false" ht="23.85" hidden="false" customHeight="false" outlineLevel="0" collapsed="false">
      <c r="A43" s="11" t="s">
        <v>191</v>
      </c>
      <c r="B43" s="12" t="n">
        <v>46303</v>
      </c>
      <c r="C43" s="11" t="str">
        <f aca="false">TEXT(B43,"ddd")</f>
        <v>Thu</v>
      </c>
      <c r="D43" s="11" t="s">
        <v>111</v>
      </c>
      <c r="E43" s="11" t="s">
        <v>36</v>
      </c>
      <c r="F43" s="11" t="s">
        <v>130</v>
      </c>
      <c r="G43" s="11" t="s">
        <v>192</v>
      </c>
      <c r="H43" s="11" t="s">
        <v>193</v>
      </c>
      <c r="I43" s="13" t="s">
        <v>40</v>
      </c>
      <c r="J43" s="14"/>
      <c r="K43" s="11"/>
    </row>
    <row r="44" customFormat="false" ht="23.85" hidden="false" customHeight="false" outlineLevel="0" collapsed="false">
      <c r="A44" s="11" t="s">
        <v>194</v>
      </c>
      <c r="B44" s="12" t="n">
        <v>46304</v>
      </c>
      <c r="C44" s="11" t="str">
        <f aca="false">TEXT(B44,"ddd")</f>
        <v>Fri</v>
      </c>
      <c r="D44" s="11" t="s">
        <v>61</v>
      </c>
      <c r="E44" s="11" t="s">
        <v>36</v>
      </c>
      <c r="F44" s="11" t="s">
        <v>57</v>
      </c>
      <c r="G44" s="11" t="s">
        <v>195</v>
      </c>
      <c r="H44" s="11" t="s">
        <v>196</v>
      </c>
      <c r="I44" s="13" t="s">
        <v>40</v>
      </c>
      <c r="J44" s="14"/>
      <c r="K44" s="11"/>
    </row>
    <row r="45" customFormat="false" ht="23.85" hidden="false" customHeight="false" outlineLevel="0" collapsed="false">
      <c r="A45" s="11" t="s">
        <v>197</v>
      </c>
      <c r="B45" s="12" t="n">
        <v>46304</v>
      </c>
      <c r="C45" s="11" t="str">
        <f aca="false">TEXT(B45,"ddd")</f>
        <v>Fri</v>
      </c>
      <c r="D45" s="11" t="s">
        <v>76</v>
      </c>
      <c r="E45" s="11" t="s">
        <v>36</v>
      </c>
      <c r="F45" s="11" t="s">
        <v>62</v>
      </c>
      <c r="G45" s="11" t="s">
        <v>198</v>
      </c>
      <c r="H45" s="11"/>
      <c r="I45" s="13" t="s">
        <v>40</v>
      </c>
      <c r="J45" s="14"/>
      <c r="K45" s="11"/>
    </row>
    <row r="46" customFormat="false" ht="15" hidden="false" customHeight="false" outlineLevel="0" collapsed="false">
      <c r="A46" s="11" t="s">
        <v>199</v>
      </c>
      <c r="B46" s="12" t="n">
        <v>46307</v>
      </c>
      <c r="C46" s="11" t="str">
        <f aca="false">TEXT(B46,"ddd")</f>
        <v>Mon</v>
      </c>
      <c r="D46" s="11" t="s">
        <v>51</v>
      </c>
      <c r="E46" s="11" t="s">
        <v>52</v>
      </c>
      <c r="F46" s="11" t="s">
        <v>72</v>
      </c>
      <c r="G46" s="11" t="s">
        <v>200</v>
      </c>
      <c r="H46" s="11" t="s">
        <v>174</v>
      </c>
      <c r="I46" s="13" t="s">
        <v>40</v>
      </c>
      <c r="J46" s="14"/>
      <c r="K46" s="11"/>
    </row>
    <row r="47" customFormat="false" ht="15" hidden="false" customHeight="false" outlineLevel="0" collapsed="false">
      <c r="A47" s="11" t="s">
        <v>201</v>
      </c>
      <c r="B47" s="12" t="n">
        <v>46307</v>
      </c>
      <c r="C47" s="11" t="str">
        <f aca="false">TEXT(B47,"ddd")</f>
        <v>Mon</v>
      </c>
      <c r="D47" s="11" t="s">
        <v>149</v>
      </c>
      <c r="E47" s="11" t="s">
        <v>52</v>
      </c>
      <c r="F47" s="11" t="s">
        <v>130</v>
      </c>
      <c r="G47" s="11" t="s">
        <v>202</v>
      </c>
      <c r="H47" s="11" t="s">
        <v>203</v>
      </c>
      <c r="I47" s="13" t="s">
        <v>40</v>
      </c>
      <c r="J47" s="14"/>
      <c r="K47" s="11"/>
    </row>
    <row r="48" customFormat="false" ht="23.85" hidden="false" customHeight="false" outlineLevel="0" collapsed="false">
      <c r="A48" s="11" t="s">
        <v>204</v>
      </c>
      <c r="B48" s="12" t="n">
        <v>46308</v>
      </c>
      <c r="C48" s="11" t="str">
        <f aca="false">TEXT(B48,"ddd")</f>
        <v>Tue</v>
      </c>
      <c r="D48" s="11" t="s">
        <v>71</v>
      </c>
      <c r="E48" s="11" t="s">
        <v>36</v>
      </c>
      <c r="F48" s="11" t="s">
        <v>107</v>
      </c>
      <c r="G48" s="11" t="s">
        <v>205</v>
      </c>
      <c r="H48" s="11" t="s">
        <v>206</v>
      </c>
      <c r="I48" s="13" t="s">
        <v>40</v>
      </c>
      <c r="J48" s="14"/>
      <c r="K48" s="11"/>
    </row>
    <row r="49" customFormat="false" ht="23.85" hidden="false" customHeight="false" outlineLevel="0" collapsed="false">
      <c r="A49" s="11" t="s">
        <v>207</v>
      </c>
      <c r="B49" s="12" t="n">
        <v>46309</v>
      </c>
      <c r="C49" s="11" t="str">
        <f aca="false">TEXT(B49,"ddd")</f>
        <v>Wed</v>
      </c>
      <c r="D49" s="11" t="s">
        <v>76</v>
      </c>
      <c r="E49" s="11" t="s">
        <v>98</v>
      </c>
      <c r="F49" s="11" t="s">
        <v>62</v>
      </c>
      <c r="G49" s="11" t="s">
        <v>208</v>
      </c>
      <c r="H49" s="11" t="s">
        <v>209</v>
      </c>
      <c r="I49" s="13" t="s">
        <v>40</v>
      </c>
      <c r="J49" s="14"/>
      <c r="K49" s="11"/>
    </row>
    <row r="50" customFormat="false" ht="15" hidden="false" customHeight="false" outlineLevel="0" collapsed="false">
      <c r="A50" s="11" t="s">
        <v>210</v>
      </c>
      <c r="B50" s="12" t="n">
        <v>46310</v>
      </c>
      <c r="C50" s="11" t="str">
        <f aca="false">TEXT(B50,"ddd")</f>
        <v>Thu</v>
      </c>
      <c r="D50" s="11" t="s">
        <v>93</v>
      </c>
      <c r="E50" s="11" t="s">
        <v>36</v>
      </c>
      <c r="F50" s="11" t="s">
        <v>130</v>
      </c>
      <c r="G50" s="11" t="s">
        <v>211</v>
      </c>
      <c r="H50" s="11" t="s">
        <v>212</v>
      </c>
      <c r="I50" s="13" t="s">
        <v>40</v>
      </c>
      <c r="J50" s="14"/>
      <c r="K50" s="11"/>
    </row>
    <row r="51" customFormat="false" ht="23.85" hidden="false" customHeight="false" outlineLevel="0" collapsed="false">
      <c r="A51" s="15" t="s">
        <v>213</v>
      </c>
      <c r="B51" s="16" t="n">
        <v>46311</v>
      </c>
      <c r="C51" s="15" t="str">
        <f aca="false">TEXT(B51,"ddd")</f>
        <v>Fri</v>
      </c>
      <c r="D51" s="15" t="s">
        <v>93</v>
      </c>
      <c r="E51" s="15" t="s">
        <v>81</v>
      </c>
      <c r="F51" s="15" t="s">
        <v>214</v>
      </c>
      <c r="G51" s="15" t="s">
        <v>215</v>
      </c>
      <c r="H51" s="15" t="s">
        <v>216</v>
      </c>
      <c r="I51" s="17" t="s">
        <v>40</v>
      </c>
      <c r="J51" s="18"/>
      <c r="K51" s="15"/>
    </row>
    <row r="52" customFormat="false" ht="15" hidden="false" customHeight="false" outlineLevel="0" collapsed="false">
      <c r="A52" s="11" t="s">
        <v>217</v>
      </c>
      <c r="B52" s="12" t="n">
        <v>46314</v>
      </c>
      <c r="C52" s="11" t="str">
        <f aca="false">TEXT(B52,"ddd")</f>
        <v>Mon</v>
      </c>
      <c r="D52" s="11" t="s">
        <v>51</v>
      </c>
      <c r="E52" s="11" t="s">
        <v>52</v>
      </c>
      <c r="F52" s="11" t="s">
        <v>72</v>
      </c>
      <c r="G52" s="11" t="s">
        <v>218</v>
      </c>
      <c r="H52" s="11" t="s">
        <v>174</v>
      </c>
      <c r="I52" s="13" t="s">
        <v>40</v>
      </c>
      <c r="J52" s="14"/>
      <c r="K52" s="11"/>
    </row>
    <row r="53" customFormat="false" ht="15" hidden="false" customHeight="false" outlineLevel="0" collapsed="false">
      <c r="A53" s="11" t="s">
        <v>219</v>
      </c>
      <c r="B53" s="12" t="n">
        <v>46314</v>
      </c>
      <c r="C53" s="11" t="str">
        <f aca="false">TEXT(B53,"ddd")</f>
        <v>Mon</v>
      </c>
      <c r="D53" s="11" t="s">
        <v>71</v>
      </c>
      <c r="E53" s="11" t="s">
        <v>36</v>
      </c>
      <c r="F53" s="11" t="s">
        <v>214</v>
      </c>
      <c r="G53" s="11" t="s">
        <v>220</v>
      </c>
      <c r="H53" s="11" t="s">
        <v>221</v>
      </c>
      <c r="I53" s="13" t="s">
        <v>40</v>
      </c>
      <c r="J53" s="14"/>
      <c r="K53" s="11"/>
    </row>
    <row r="54" customFormat="false" ht="15" hidden="false" customHeight="false" outlineLevel="0" collapsed="false">
      <c r="A54" s="11" t="s">
        <v>222</v>
      </c>
      <c r="B54" s="12" t="n">
        <v>46316</v>
      </c>
      <c r="C54" s="11" t="str">
        <f aca="false">TEXT(B54,"ddd")</f>
        <v>Wed</v>
      </c>
      <c r="D54" s="11" t="s">
        <v>71</v>
      </c>
      <c r="E54" s="11" t="s">
        <v>36</v>
      </c>
      <c r="F54" s="11" t="s">
        <v>214</v>
      </c>
      <c r="G54" s="11" t="s">
        <v>223</v>
      </c>
      <c r="H54" s="11"/>
      <c r="I54" s="13" t="s">
        <v>40</v>
      </c>
      <c r="J54" s="14"/>
      <c r="K54" s="11"/>
    </row>
    <row r="55" customFormat="false" ht="15" hidden="false" customHeight="false" outlineLevel="0" collapsed="false">
      <c r="A55" s="11" t="s">
        <v>224</v>
      </c>
      <c r="B55" s="12" t="n">
        <v>46318</v>
      </c>
      <c r="C55" s="11" t="str">
        <f aca="false">TEXT(B55,"ddd")</f>
        <v>Fri</v>
      </c>
      <c r="D55" s="11" t="s">
        <v>71</v>
      </c>
      <c r="E55" s="11" t="s">
        <v>36</v>
      </c>
      <c r="F55" s="11" t="s">
        <v>214</v>
      </c>
      <c r="G55" s="11" t="s">
        <v>225</v>
      </c>
      <c r="H55" s="11" t="s">
        <v>226</v>
      </c>
      <c r="I55" s="13" t="s">
        <v>40</v>
      </c>
      <c r="J55" s="14"/>
      <c r="K55" s="11"/>
    </row>
    <row r="56" customFormat="false" ht="23.85" hidden="false" customHeight="false" outlineLevel="0" collapsed="false">
      <c r="A56" s="11" t="s">
        <v>227</v>
      </c>
      <c r="B56" s="12" t="n">
        <v>46320</v>
      </c>
      <c r="C56" s="11" t="str">
        <f aca="false">TEXT(B56,"ddd")</f>
        <v>Sun</v>
      </c>
      <c r="D56" s="11" t="s">
        <v>61</v>
      </c>
      <c r="E56" s="11" t="s">
        <v>36</v>
      </c>
      <c r="F56" s="11" t="s">
        <v>37</v>
      </c>
      <c r="G56" s="11" t="s">
        <v>228</v>
      </c>
      <c r="H56" s="11"/>
      <c r="I56" s="13" t="s">
        <v>40</v>
      </c>
      <c r="J56" s="14"/>
      <c r="K56" s="11"/>
    </row>
    <row r="57" customFormat="false" ht="15" hidden="false" customHeight="false" outlineLevel="0" collapsed="false">
      <c r="A57" s="11" t="s">
        <v>229</v>
      </c>
      <c r="B57" s="12" t="n">
        <v>46321</v>
      </c>
      <c r="C57" s="11" t="str">
        <f aca="false">TEXT(B57,"ddd")</f>
        <v>Mon</v>
      </c>
      <c r="D57" s="11" t="s">
        <v>51</v>
      </c>
      <c r="E57" s="11" t="s">
        <v>52</v>
      </c>
      <c r="F57" s="11" t="s">
        <v>72</v>
      </c>
      <c r="G57" s="11" t="s">
        <v>230</v>
      </c>
      <c r="H57" s="11" t="s">
        <v>174</v>
      </c>
      <c r="I57" s="13" t="s">
        <v>40</v>
      </c>
      <c r="J57" s="14"/>
      <c r="K57" s="11"/>
    </row>
    <row r="58" customFormat="false" ht="15" hidden="false" customHeight="false" outlineLevel="0" collapsed="false">
      <c r="A58" s="11" t="s">
        <v>231</v>
      </c>
      <c r="B58" s="12" t="n">
        <v>46321</v>
      </c>
      <c r="C58" s="11" t="str">
        <f aca="false">TEXT(B58,"ddd")</f>
        <v>Mon</v>
      </c>
      <c r="D58" s="11" t="s">
        <v>71</v>
      </c>
      <c r="E58" s="11" t="s">
        <v>98</v>
      </c>
      <c r="F58" s="11" t="s">
        <v>214</v>
      </c>
      <c r="G58" s="11" t="s">
        <v>232</v>
      </c>
      <c r="H58" s="11" t="s">
        <v>233</v>
      </c>
      <c r="I58" s="13" t="s">
        <v>40</v>
      </c>
      <c r="J58" s="14"/>
      <c r="K58" s="11"/>
    </row>
    <row r="59" customFormat="false" ht="15" hidden="false" customHeight="false" outlineLevel="0" collapsed="false">
      <c r="A59" s="11" t="s">
        <v>234</v>
      </c>
      <c r="B59" s="12" t="n">
        <v>46323</v>
      </c>
      <c r="C59" s="11" t="str">
        <f aca="false">TEXT(B59,"ddd")</f>
        <v>Wed</v>
      </c>
      <c r="D59" s="11" t="s">
        <v>71</v>
      </c>
      <c r="E59" s="11" t="s">
        <v>81</v>
      </c>
      <c r="F59" s="11" t="s">
        <v>214</v>
      </c>
      <c r="G59" s="11" t="s">
        <v>235</v>
      </c>
      <c r="H59" s="11"/>
      <c r="I59" s="13" t="s">
        <v>40</v>
      </c>
      <c r="J59" s="14"/>
      <c r="K59" s="11"/>
    </row>
    <row r="60" customFormat="false" ht="15" hidden="false" customHeight="false" outlineLevel="0" collapsed="false">
      <c r="A60" s="11" t="s">
        <v>236</v>
      </c>
      <c r="B60" s="12" t="n">
        <v>46327</v>
      </c>
      <c r="C60" s="11" t="str">
        <f aca="false">TEXT(B60,"ddd")</f>
        <v>Sun</v>
      </c>
      <c r="D60" s="11" t="s">
        <v>61</v>
      </c>
      <c r="E60" s="11" t="s">
        <v>36</v>
      </c>
      <c r="F60" s="11" t="s">
        <v>37</v>
      </c>
      <c r="G60" s="11" t="s">
        <v>237</v>
      </c>
      <c r="H60" s="11"/>
      <c r="I60" s="13" t="s">
        <v>40</v>
      </c>
      <c r="J60" s="14"/>
      <c r="K60" s="11"/>
    </row>
    <row r="61" customFormat="false" ht="15" hidden="false" customHeight="false" outlineLevel="0" collapsed="false">
      <c r="A61" s="11" t="s">
        <v>238</v>
      </c>
      <c r="B61" s="12" t="n">
        <v>46328</v>
      </c>
      <c r="C61" s="11" t="str">
        <f aca="false">TEXT(B61,"ddd")</f>
        <v>Mon</v>
      </c>
      <c r="D61" s="11" t="s">
        <v>51</v>
      </c>
      <c r="E61" s="11" t="s">
        <v>52</v>
      </c>
      <c r="F61" s="11" t="s">
        <v>72</v>
      </c>
      <c r="G61" s="11" t="s">
        <v>239</v>
      </c>
      <c r="H61" s="11"/>
      <c r="I61" s="13" t="s">
        <v>40</v>
      </c>
      <c r="J61" s="14"/>
      <c r="K61" s="11"/>
    </row>
    <row r="62" customFormat="false" ht="15" hidden="false" customHeight="false" outlineLevel="0" collapsed="false">
      <c r="A62" s="11" t="s">
        <v>240</v>
      </c>
      <c r="B62" s="12" t="n">
        <v>46328</v>
      </c>
      <c r="C62" s="11" t="str">
        <f aca="false">TEXT(B62,"ddd")</f>
        <v>Mon</v>
      </c>
      <c r="D62" s="11" t="s">
        <v>71</v>
      </c>
      <c r="E62" s="11" t="s">
        <v>36</v>
      </c>
      <c r="F62" s="11" t="s">
        <v>214</v>
      </c>
      <c r="G62" s="11" t="s">
        <v>241</v>
      </c>
      <c r="H62" s="11" t="s">
        <v>242</v>
      </c>
      <c r="I62" s="13" t="s">
        <v>40</v>
      </c>
      <c r="J62" s="14"/>
      <c r="K62" s="11"/>
    </row>
    <row r="63" customFormat="false" ht="23.85" hidden="false" customHeight="false" outlineLevel="0" collapsed="false">
      <c r="A63" s="11" t="s">
        <v>243</v>
      </c>
      <c r="B63" s="12" t="n">
        <v>46329</v>
      </c>
      <c r="C63" s="11" t="str">
        <f aca="false">TEXT(B63,"ddd")</f>
        <v>Tue</v>
      </c>
      <c r="D63" s="11" t="s">
        <v>71</v>
      </c>
      <c r="E63" s="11" t="s">
        <v>81</v>
      </c>
      <c r="F63" s="11" t="s">
        <v>214</v>
      </c>
      <c r="G63" s="11" t="s">
        <v>244</v>
      </c>
      <c r="H63" s="11" t="s">
        <v>245</v>
      </c>
      <c r="I63" s="13" t="s">
        <v>40</v>
      </c>
      <c r="J63" s="14"/>
      <c r="K63" s="11"/>
    </row>
    <row r="64" customFormat="false" ht="23.85" hidden="false" customHeight="false" outlineLevel="0" collapsed="false">
      <c r="A64" s="11" t="s">
        <v>246</v>
      </c>
      <c r="B64" s="12" t="n">
        <v>46330</v>
      </c>
      <c r="C64" s="11" t="str">
        <f aca="false">TEXT(B64,"ddd")</f>
        <v>Wed</v>
      </c>
      <c r="D64" s="11" t="s">
        <v>71</v>
      </c>
      <c r="E64" s="11" t="s">
        <v>36</v>
      </c>
      <c r="F64" s="11" t="s">
        <v>214</v>
      </c>
      <c r="G64" s="11" t="s">
        <v>247</v>
      </c>
      <c r="H64" s="11"/>
      <c r="I64" s="13" t="s">
        <v>40</v>
      </c>
      <c r="J64" s="14"/>
      <c r="K64" s="11"/>
    </row>
    <row r="65" customFormat="false" ht="23.85" hidden="false" customHeight="false" outlineLevel="0" collapsed="false">
      <c r="A65" s="11" t="s">
        <v>248</v>
      </c>
      <c r="B65" s="12" t="n">
        <v>46331</v>
      </c>
      <c r="C65" s="11" t="str">
        <f aca="false">TEXT(B65,"ddd")</f>
        <v>Thu</v>
      </c>
      <c r="D65" s="11" t="s">
        <v>71</v>
      </c>
      <c r="E65" s="11" t="s">
        <v>98</v>
      </c>
      <c r="F65" s="11" t="s">
        <v>214</v>
      </c>
      <c r="G65" s="11" t="s">
        <v>249</v>
      </c>
      <c r="H65" s="11"/>
      <c r="I65" s="13" t="s">
        <v>40</v>
      </c>
      <c r="J65" s="14"/>
      <c r="K65" s="11"/>
    </row>
    <row r="66" customFormat="false" ht="15" hidden="false" customHeight="false" outlineLevel="0" collapsed="false">
      <c r="A66" s="11" t="s">
        <v>250</v>
      </c>
      <c r="B66" s="12" t="n">
        <v>46332</v>
      </c>
      <c r="C66" s="11" t="str">
        <f aca="false">TEXT(B66,"ddd")</f>
        <v>Fri</v>
      </c>
      <c r="D66" s="11" t="s">
        <v>76</v>
      </c>
      <c r="E66" s="11" t="s">
        <v>36</v>
      </c>
      <c r="F66" s="11" t="s">
        <v>214</v>
      </c>
      <c r="G66" s="11" t="s">
        <v>251</v>
      </c>
      <c r="H66" s="11" t="s">
        <v>252</v>
      </c>
      <c r="I66" s="13" t="s">
        <v>40</v>
      </c>
      <c r="J66" s="14"/>
      <c r="K66" s="11"/>
    </row>
  </sheetData>
  <autoFilter ref="A1:K66"/>
  <dataValidations count="1">
    <dataValidation allowBlank="true" errorStyle="stop" operator="between" showDropDown="false" showErrorMessage="false" showInputMessage="false" sqref="I2:I66" type="list">
      <formula1>"Not started,In progress,Done,Blocked,Skipped"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5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4"/>
    <col collapsed="false" customWidth="true" hidden="false" outlineLevel="0" max="6" min="6" style="0" width="28"/>
    <col collapsed="false" customWidth="true" hidden="false" outlineLevel="0" max="7" min="7" style="0" width="22"/>
    <col collapsed="false" customWidth="true" hidden="false" outlineLevel="0" max="9" min="8" style="0" width="40"/>
    <col collapsed="false" customWidth="true" hidden="false" outlineLevel="0" max="10" min="10" style="0" width="28"/>
    <col collapsed="false" customWidth="true" hidden="false" outlineLevel="0" max="11" min="11" style="0" width="48"/>
    <col collapsed="false" customWidth="true" hidden="false" outlineLevel="0" max="12" min="12" style="0" width="44"/>
    <col collapsed="false" customWidth="true" hidden="false" outlineLevel="0" max="13" min="13" style="0" width="30"/>
    <col collapsed="false" customWidth="true" hidden="false" outlineLevel="0" max="14" min="14" style="0" width="26"/>
    <col collapsed="false" customWidth="true" hidden="false" outlineLevel="0" max="15" min="15" style="0" width="44"/>
    <col collapsed="false" customWidth="true" hidden="false" outlineLevel="0" max="16" min="16" style="0" width="22"/>
    <col collapsed="false" customWidth="true" hidden="false" outlineLevel="0" max="17" min="17" style="0" width="14"/>
    <col collapsed="false" customWidth="true" hidden="false" outlineLevel="0" max="18" min="18" style="0" width="24"/>
    <col collapsed="false" customWidth="true" hidden="false" outlineLevel="0" max="19" min="19" style="0" width="10"/>
  </cols>
  <sheetData>
    <row r="1" customFormat="false" ht="15" hidden="false" customHeight="false" outlineLevel="0" collapsed="false">
      <c r="A1" s="10" t="s">
        <v>23</v>
      </c>
      <c r="B1" s="10" t="s">
        <v>253</v>
      </c>
      <c r="C1" s="10" t="s">
        <v>254</v>
      </c>
      <c r="D1" s="10" t="s">
        <v>255</v>
      </c>
      <c r="E1" s="10" t="s">
        <v>256</v>
      </c>
      <c r="F1" s="10" t="s">
        <v>257</v>
      </c>
      <c r="G1" s="10" t="s">
        <v>258</v>
      </c>
      <c r="H1" s="10" t="s">
        <v>259</v>
      </c>
      <c r="I1" s="10" t="s">
        <v>260</v>
      </c>
      <c r="J1" s="10" t="s">
        <v>261</v>
      </c>
      <c r="K1" s="10" t="s">
        <v>262</v>
      </c>
      <c r="L1" s="10" t="s">
        <v>263</v>
      </c>
      <c r="M1" s="10" t="s">
        <v>264</v>
      </c>
      <c r="N1" s="10" t="s">
        <v>265</v>
      </c>
      <c r="O1" s="10" t="s">
        <v>266</v>
      </c>
      <c r="P1" s="10" t="s">
        <v>267</v>
      </c>
      <c r="Q1" s="10" t="s">
        <v>31</v>
      </c>
      <c r="R1" s="10" t="s">
        <v>268</v>
      </c>
      <c r="S1" s="10" t="s">
        <v>269</v>
      </c>
    </row>
    <row r="2" customFormat="false" ht="46.25" hidden="false" customHeight="false" outlineLevel="0" collapsed="false">
      <c r="A2" s="19" t="s">
        <v>270</v>
      </c>
      <c r="B2" s="19" t="n">
        <v>1</v>
      </c>
      <c r="C2" s="19" t="s">
        <v>271</v>
      </c>
      <c r="D2" s="19" t="s">
        <v>272</v>
      </c>
      <c r="E2" s="19" t="s">
        <v>273</v>
      </c>
      <c r="F2" s="19" t="s">
        <v>274</v>
      </c>
      <c r="G2" s="19" t="s">
        <v>275</v>
      </c>
      <c r="H2" s="20" t="s">
        <v>276</v>
      </c>
      <c r="I2" s="19" t="s">
        <v>277</v>
      </c>
      <c r="J2" s="19" t="s">
        <v>278</v>
      </c>
      <c r="K2" s="19" t="s">
        <v>279</v>
      </c>
      <c r="L2" s="19" t="s">
        <v>280</v>
      </c>
      <c r="M2" s="19" t="s">
        <v>281</v>
      </c>
      <c r="N2" s="19" t="s">
        <v>282</v>
      </c>
      <c r="O2" s="19" t="s">
        <v>283</v>
      </c>
      <c r="P2" s="19" t="s">
        <v>284</v>
      </c>
      <c r="Q2" s="21" t="s">
        <v>285</v>
      </c>
      <c r="R2" s="19"/>
      <c r="S2" s="22"/>
    </row>
    <row r="3" customFormat="false" ht="35.05" hidden="false" customHeight="false" outlineLevel="0" collapsed="false">
      <c r="A3" s="19" t="s">
        <v>286</v>
      </c>
      <c r="B3" s="19" t="n">
        <v>1</v>
      </c>
      <c r="C3" s="19" t="s">
        <v>287</v>
      </c>
      <c r="D3" s="19" t="s">
        <v>288</v>
      </c>
      <c r="E3" s="19" t="s">
        <v>289</v>
      </c>
      <c r="F3" s="19" t="s">
        <v>290</v>
      </c>
      <c r="G3" s="19" t="s">
        <v>291</v>
      </c>
      <c r="H3" s="20" t="s">
        <v>292</v>
      </c>
      <c r="I3" s="19" t="s">
        <v>293</v>
      </c>
      <c r="J3" s="19" t="s">
        <v>294</v>
      </c>
      <c r="K3" s="19" t="s">
        <v>295</v>
      </c>
      <c r="L3" s="19" t="s">
        <v>296</v>
      </c>
      <c r="M3" s="19" t="s">
        <v>297</v>
      </c>
      <c r="N3" s="19" t="s">
        <v>298</v>
      </c>
      <c r="O3" s="19" t="s">
        <v>299</v>
      </c>
      <c r="P3" s="19" t="s">
        <v>300</v>
      </c>
      <c r="Q3" s="21" t="s">
        <v>285</v>
      </c>
      <c r="R3" s="19"/>
      <c r="S3" s="22"/>
    </row>
    <row r="4" customFormat="false" ht="35.05" hidden="false" customHeight="false" outlineLevel="0" collapsed="false">
      <c r="A4" s="19" t="s">
        <v>301</v>
      </c>
      <c r="B4" s="19" t="n">
        <v>1</v>
      </c>
      <c r="C4" s="19" t="s">
        <v>302</v>
      </c>
      <c r="D4" s="19" t="s">
        <v>303</v>
      </c>
      <c r="E4" s="19" t="s">
        <v>304</v>
      </c>
      <c r="F4" s="19" t="s">
        <v>305</v>
      </c>
      <c r="G4" s="19" t="s">
        <v>306</v>
      </c>
      <c r="H4" s="19" t="s">
        <v>307</v>
      </c>
      <c r="I4" s="19" t="s">
        <v>308</v>
      </c>
      <c r="J4" s="19" t="s">
        <v>309</v>
      </c>
      <c r="K4" s="19" t="s">
        <v>310</v>
      </c>
      <c r="L4" s="19" t="s">
        <v>311</v>
      </c>
      <c r="M4" s="19" t="s">
        <v>312</v>
      </c>
      <c r="N4" s="19" t="s">
        <v>298</v>
      </c>
      <c r="O4" s="19" t="s">
        <v>313</v>
      </c>
      <c r="P4" s="19" t="s">
        <v>314</v>
      </c>
      <c r="Q4" s="21" t="s">
        <v>285</v>
      </c>
      <c r="R4" s="19"/>
      <c r="S4" s="22"/>
    </row>
    <row r="5" customFormat="false" ht="35.05" hidden="false" customHeight="false" outlineLevel="0" collapsed="false">
      <c r="A5" s="19" t="s">
        <v>315</v>
      </c>
      <c r="B5" s="19" t="n">
        <v>1</v>
      </c>
      <c r="C5" s="19" t="s">
        <v>316</v>
      </c>
      <c r="D5" s="19" t="s">
        <v>317</v>
      </c>
      <c r="E5" s="19" t="s">
        <v>318</v>
      </c>
      <c r="F5" s="19" t="s">
        <v>319</v>
      </c>
      <c r="G5" s="19" t="s">
        <v>320</v>
      </c>
      <c r="H5" s="20" t="s">
        <v>321</v>
      </c>
      <c r="I5" s="19" t="s">
        <v>322</v>
      </c>
      <c r="J5" s="19" t="s">
        <v>306</v>
      </c>
      <c r="K5" s="19" t="s">
        <v>323</v>
      </c>
      <c r="L5" s="19" t="s">
        <v>324</v>
      </c>
      <c r="M5" s="19" t="s">
        <v>325</v>
      </c>
      <c r="N5" s="19" t="s">
        <v>326</v>
      </c>
      <c r="O5" s="19" t="s">
        <v>327</v>
      </c>
      <c r="P5" s="19" t="s">
        <v>328</v>
      </c>
      <c r="Q5" s="21" t="s">
        <v>285</v>
      </c>
      <c r="R5" s="19"/>
      <c r="S5" s="22"/>
    </row>
    <row r="6" customFormat="false" ht="35.05" hidden="false" customHeight="false" outlineLevel="0" collapsed="false">
      <c r="A6" s="19" t="s">
        <v>329</v>
      </c>
      <c r="B6" s="19" t="n">
        <v>1</v>
      </c>
      <c r="C6" s="19" t="s">
        <v>330</v>
      </c>
      <c r="D6" s="19" t="s">
        <v>331</v>
      </c>
      <c r="E6" s="19" t="s">
        <v>332</v>
      </c>
      <c r="F6" s="19" t="s">
        <v>333</v>
      </c>
      <c r="G6" s="19" t="s">
        <v>334</v>
      </c>
      <c r="H6" s="20" t="s">
        <v>321</v>
      </c>
      <c r="I6" s="19" t="s">
        <v>335</v>
      </c>
      <c r="J6" s="19" t="s">
        <v>306</v>
      </c>
      <c r="K6" s="19" t="s">
        <v>336</v>
      </c>
      <c r="L6" s="19" t="s">
        <v>337</v>
      </c>
      <c r="M6" s="19" t="s">
        <v>338</v>
      </c>
      <c r="N6" s="19" t="s">
        <v>339</v>
      </c>
      <c r="O6" s="19" t="s">
        <v>340</v>
      </c>
      <c r="P6" s="19" t="s">
        <v>341</v>
      </c>
      <c r="Q6" s="21" t="s">
        <v>285</v>
      </c>
      <c r="R6" s="19"/>
      <c r="S6" s="22"/>
    </row>
    <row r="7" customFormat="false" ht="46.25" hidden="false" customHeight="false" outlineLevel="0" collapsed="false">
      <c r="A7" s="19" t="s">
        <v>342</v>
      </c>
      <c r="B7" s="19" t="n">
        <v>1</v>
      </c>
      <c r="C7" s="19" t="s">
        <v>343</v>
      </c>
      <c r="D7" s="19" t="s">
        <v>344</v>
      </c>
      <c r="E7" s="19" t="s">
        <v>345</v>
      </c>
      <c r="F7" s="19" t="s">
        <v>346</v>
      </c>
      <c r="G7" s="19" t="s">
        <v>347</v>
      </c>
      <c r="H7" s="19" t="s">
        <v>348</v>
      </c>
      <c r="I7" s="19" t="s">
        <v>349</v>
      </c>
      <c r="J7" s="19" t="s">
        <v>350</v>
      </c>
      <c r="K7" s="19" t="s">
        <v>351</v>
      </c>
      <c r="L7" s="19" t="s">
        <v>352</v>
      </c>
      <c r="M7" s="19" t="s">
        <v>353</v>
      </c>
      <c r="N7" s="19" t="s">
        <v>298</v>
      </c>
      <c r="O7" s="19" t="s">
        <v>354</v>
      </c>
      <c r="P7" s="19" t="s">
        <v>355</v>
      </c>
      <c r="Q7" s="21" t="s">
        <v>285</v>
      </c>
      <c r="R7" s="19"/>
      <c r="S7" s="22"/>
    </row>
    <row r="8" customFormat="false" ht="35.05" hidden="false" customHeight="false" outlineLevel="0" collapsed="false">
      <c r="A8" s="23" t="s">
        <v>356</v>
      </c>
      <c r="B8" s="23" t="n">
        <v>2</v>
      </c>
      <c r="C8" s="23" t="s">
        <v>357</v>
      </c>
      <c r="D8" s="23" t="s">
        <v>358</v>
      </c>
      <c r="E8" s="23" t="s">
        <v>359</v>
      </c>
      <c r="F8" s="23" t="s">
        <v>360</v>
      </c>
      <c r="G8" s="23" t="s">
        <v>361</v>
      </c>
      <c r="H8" s="20" t="s">
        <v>362</v>
      </c>
      <c r="I8" s="23" t="s">
        <v>363</v>
      </c>
      <c r="J8" s="23" t="s">
        <v>306</v>
      </c>
      <c r="K8" s="23" t="s">
        <v>364</v>
      </c>
      <c r="L8" s="23" t="s">
        <v>365</v>
      </c>
      <c r="M8" s="23" t="s">
        <v>366</v>
      </c>
      <c r="N8" s="23" t="s">
        <v>367</v>
      </c>
      <c r="O8" s="23" t="s">
        <v>368</v>
      </c>
      <c r="P8" s="23" t="s">
        <v>369</v>
      </c>
      <c r="Q8" s="24" t="s">
        <v>285</v>
      </c>
      <c r="R8" s="23"/>
      <c r="S8" s="25"/>
    </row>
    <row r="9" customFormat="false" ht="35.05" hidden="false" customHeight="false" outlineLevel="0" collapsed="false">
      <c r="A9" s="23" t="s">
        <v>370</v>
      </c>
      <c r="B9" s="23" t="n">
        <v>2</v>
      </c>
      <c r="C9" s="23" t="s">
        <v>371</v>
      </c>
      <c r="D9" s="23" t="s">
        <v>372</v>
      </c>
      <c r="E9" s="23" t="s">
        <v>373</v>
      </c>
      <c r="F9" s="23" t="s">
        <v>374</v>
      </c>
      <c r="G9" s="23" t="s">
        <v>375</v>
      </c>
      <c r="H9" s="20" t="s">
        <v>321</v>
      </c>
      <c r="I9" s="23" t="s">
        <v>376</v>
      </c>
      <c r="J9" s="23" t="s">
        <v>306</v>
      </c>
      <c r="K9" s="23" t="s">
        <v>377</v>
      </c>
      <c r="L9" s="23" t="s">
        <v>378</v>
      </c>
      <c r="M9" s="23" t="s">
        <v>379</v>
      </c>
      <c r="N9" s="23" t="s">
        <v>298</v>
      </c>
      <c r="O9" s="23" t="s">
        <v>380</v>
      </c>
      <c r="P9" s="23" t="s">
        <v>381</v>
      </c>
      <c r="Q9" s="24" t="s">
        <v>285</v>
      </c>
      <c r="R9" s="23"/>
      <c r="S9" s="25"/>
    </row>
    <row r="10" customFormat="false" ht="35.05" hidden="false" customHeight="false" outlineLevel="0" collapsed="false">
      <c r="A10" s="23" t="s">
        <v>382</v>
      </c>
      <c r="B10" s="23" t="n">
        <v>2</v>
      </c>
      <c r="C10" s="23" t="s">
        <v>383</v>
      </c>
      <c r="D10" s="23" t="s">
        <v>384</v>
      </c>
      <c r="E10" s="23" t="s">
        <v>385</v>
      </c>
      <c r="F10" s="23" t="s">
        <v>386</v>
      </c>
      <c r="G10" s="23" t="s">
        <v>387</v>
      </c>
      <c r="H10" s="20" t="s">
        <v>321</v>
      </c>
      <c r="I10" s="23" t="s">
        <v>388</v>
      </c>
      <c r="J10" s="23" t="s">
        <v>306</v>
      </c>
      <c r="K10" s="23" t="s">
        <v>389</v>
      </c>
      <c r="L10" s="23" t="s">
        <v>390</v>
      </c>
      <c r="M10" s="23" t="s">
        <v>379</v>
      </c>
      <c r="N10" s="23" t="s">
        <v>391</v>
      </c>
      <c r="O10" s="23" t="s">
        <v>392</v>
      </c>
      <c r="P10" s="23" t="s">
        <v>393</v>
      </c>
      <c r="Q10" s="24" t="s">
        <v>285</v>
      </c>
      <c r="R10" s="23"/>
      <c r="S10" s="25"/>
    </row>
    <row r="11" customFormat="false" ht="23.85" hidden="false" customHeight="false" outlineLevel="0" collapsed="false">
      <c r="A11" s="19" t="s">
        <v>394</v>
      </c>
      <c r="B11" s="19" t="n">
        <v>1</v>
      </c>
      <c r="C11" s="19" t="s">
        <v>395</v>
      </c>
      <c r="D11" s="19" t="s">
        <v>396</v>
      </c>
      <c r="E11" s="19" t="s">
        <v>397</v>
      </c>
      <c r="F11" s="19" t="s">
        <v>398</v>
      </c>
      <c r="G11" s="19" t="s">
        <v>399</v>
      </c>
      <c r="H11" s="19" t="s">
        <v>400</v>
      </c>
      <c r="I11" s="19" t="s">
        <v>401</v>
      </c>
      <c r="J11" s="19" t="s">
        <v>306</v>
      </c>
      <c r="K11" s="19" t="s">
        <v>402</v>
      </c>
      <c r="L11" s="19" t="s">
        <v>306</v>
      </c>
      <c r="M11" s="19" t="s">
        <v>403</v>
      </c>
      <c r="N11" s="19" t="s">
        <v>306</v>
      </c>
      <c r="O11" s="19" t="s">
        <v>404</v>
      </c>
      <c r="P11" s="19" t="s">
        <v>405</v>
      </c>
      <c r="Q11" s="21" t="s">
        <v>285</v>
      </c>
      <c r="R11" s="19"/>
      <c r="S11" s="22"/>
    </row>
    <row r="12" customFormat="false" ht="23.85" hidden="false" customHeight="false" outlineLevel="0" collapsed="false">
      <c r="A12" s="23" t="s">
        <v>406</v>
      </c>
      <c r="B12" s="23" t="n">
        <v>2</v>
      </c>
      <c r="C12" s="23" t="s">
        <v>407</v>
      </c>
      <c r="D12" s="23" t="s">
        <v>408</v>
      </c>
      <c r="E12" s="23" t="s">
        <v>409</v>
      </c>
      <c r="F12" s="23" t="s">
        <v>410</v>
      </c>
      <c r="G12" s="23" t="s">
        <v>411</v>
      </c>
      <c r="H12" s="20" t="s">
        <v>321</v>
      </c>
      <c r="I12" s="23" t="s">
        <v>412</v>
      </c>
      <c r="J12" s="23" t="s">
        <v>413</v>
      </c>
      <c r="K12" s="23" t="s">
        <v>414</v>
      </c>
      <c r="L12" s="23" t="s">
        <v>415</v>
      </c>
      <c r="M12" s="23" t="s">
        <v>416</v>
      </c>
      <c r="N12" s="23" t="s">
        <v>298</v>
      </c>
      <c r="O12" s="23" t="s">
        <v>417</v>
      </c>
      <c r="P12" s="23" t="s">
        <v>393</v>
      </c>
      <c r="Q12" s="24" t="s">
        <v>285</v>
      </c>
      <c r="R12" s="23"/>
      <c r="S12" s="25"/>
    </row>
    <row r="13" customFormat="false" ht="23.85" hidden="false" customHeight="false" outlineLevel="0" collapsed="false">
      <c r="A13" s="23" t="s">
        <v>418</v>
      </c>
      <c r="B13" s="23" t="n">
        <v>2</v>
      </c>
      <c r="C13" s="23" t="s">
        <v>419</v>
      </c>
      <c r="D13" s="23" t="s">
        <v>420</v>
      </c>
      <c r="E13" s="23" t="s">
        <v>421</v>
      </c>
      <c r="F13" s="23" t="s">
        <v>422</v>
      </c>
      <c r="G13" s="23" t="s">
        <v>411</v>
      </c>
      <c r="H13" s="20" t="s">
        <v>321</v>
      </c>
      <c r="I13" s="23" t="s">
        <v>423</v>
      </c>
      <c r="J13" s="23" t="s">
        <v>306</v>
      </c>
      <c r="K13" s="23" t="s">
        <v>424</v>
      </c>
      <c r="L13" s="23" t="s">
        <v>425</v>
      </c>
      <c r="M13" s="23" t="s">
        <v>312</v>
      </c>
      <c r="N13" s="23" t="s">
        <v>426</v>
      </c>
      <c r="O13" s="23" t="s">
        <v>427</v>
      </c>
      <c r="P13" s="23" t="s">
        <v>393</v>
      </c>
      <c r="Q13" s="24" t="s">
        <v>285</v>
      </c>
      <c r="R13" s="23"/>
      <c r="S13" s="25"/>
    </row>
    <row r="14" customFormat="false" ht="23.85" hidden="false" customHeight="false" outlineLevel="0" collapsed="false">
      <c r="A14" s="23" t="s">
        <v>428</v>
      </c>
      <c r="B14" s="23" t="n">
        <v>2</v>
      </c>
      <c r="C14" s="23" t="s">
        <v>429</v>
      </c>
      <c r="D14" s="23" t="s">
        <v>430</v>
      </c>
      <c r="E14" s="23" t="s">
        <v>431</v>
      </c>
      <c r="F14" s="23" t="s">
        <v>432</v>
      </c>
      <c r="G14" s="23" t="s">
        <v>433</v>
      </c>
      <c r="H14" s="20" t="s">
        <v>434</v>
      </c>
      <c r="I14" s="23" t="s">
        <v>435</v>
      </c>
      <c r="J14" s="23" t="s">
        <v>306</v>
      </c>
      <c r="K14" s="23" t="s">
        <v>436</v>
      </c>
      <c r="L14" s="23" t="s">
        <v>437</v>
      </c>
      <c r="M14" s="23" t="s">
        <v>312</v>
      </c>
      <c r="N14" s="23" t="s">
        <v>438</v>
      </c>
      <c r="O14" s="23" t="s">
        <v>439</v>
      </c>
      <c r="P14" s="23" t="s">
        <v>440</v>
      </c>
      <c r="Q14" s="24" t="s">
        <v>285</v>
      </c>
      <c r="R14" s="23"/>
      <c r="S14" s="25"/>
    </row>
    <row r="16" customFormat="false" ht="15" hidden="false" customHeight="false" outlineLevel="0" collapsed="false">
      <c r="A16" s="26" t="s">
        <v>441</v>
      </c>
      <c r="B16" s="27" t="n">
        <f aca="false">COUNTIF(B2:B14,1)</f>
        <v>7</v>
      </c>
    </row>
    <row r="17" customFormat="false" ht="15" hidden="false" customHeight="false" outlineLevel="0" collapsed="false">
      <c r="A17" s="26" t="s">
        <v>442</v>
      </c>
      <c r="B17" s="27" t="n">
        <f aca="false">COUNTIF(B2:B14,2)</f>
        <v>6</v>
      </c>
    </row>
    <row r="18" customFormat="false" ht="30" hidden="false" customHeight="true" outlineLevel="0" collapsed="false">
      <c r="A18" s="8" t="s">
        <v>443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</row>
  </sheetData>
  <autoFilter ref="A1:S14"/>
  <mergeCells count="1">
    <mergeCell ref="A18:L18"/>
  </mergeCells>
  <dataValidations count="1">
    <dataValidation allowBlank="true" errorStyle="stop" operator="between" showDropDown="false" showErrorMessage="false" showInputMessage="false" sqref="Q2:Q14" type="list">
      <formula1>"Not contacted,Contacted,Replied,Meeting booked,NDA signed,Offer received,Passed"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6"/>
    <col collapsed="false" customWidth="true" hidden="false" outlineLevel="0" max="5" min="5" style="0" width="9"/>
    <col collapsed="false" customWidth="true" hidden="false" outlineLevel="0" max="6" min="6" style="0" width="16"/>
    <col collapsed="false" customWidth="true" hidden="false" outlineLevel="0" max="7" min="7" style="0" width="60"/>
    <col collapsed="false" customWidth="true" hidden="false" outlineLevel="0" max="8" min="8" style="0" width="26"/>
    <col collapsed="false" customWidth="true" hidden="false" outlineLevel="0" max="9" min="9" style="0" width="13"/>
  </cols>
  <sheetData>
    <row r="1" customFormat="false" ht="23.85" hidden="false" customHeight="false" outlineLevel="0" collapsed="false">
      <c r="A1" s="10" t="s">
        <v>444</v>
      </c>
      <c r="B1" s="10" t="s">
        <v>254</v>
      </c>
      <c r="C1" s="10" t="s">
        <v>24</v>
      </c>
      <c r="D1" s="10" t="s">
        <v>25</v>
      </c>
      <c r="E1" s="10" t="s">
        <v>26</v>
      </c>
      <c r="F1" s="10" t="s">
        <v>445</v>
      </c>
      <c r="G1" s="10" t="s">
        <v>446</v>
      </c>
      <c r="H1" s="10" t="s">
        <v>447</v>
      </c>
      <c r="I1" s="10" t="s">
        <v>31</v>
      </c>
    </row>
    <row r="2" customFormat="false" ht="15" hidden="false" customHeight="false" outlineLevel="0" collapsed="false">
      <c r="A2" s="11" t="s">
        <v>428</v>
      </c>
      <c r="B2" s="11" t="s">
        <v>429</v>
      </c>
      <c r="C2" s="12" t="n">
        <v>46296</v>
      </c>
      <c r="D2" s="11" t="str">
        <f aca="false">TEXT(C2,"ddd")</f>
        <v>Thu</v>
      </c>
      <c r="E2" s="11" t="s">
        <v>448</v>
      </c>
      <c r="F2" s="11" t="s">
        <v>449</v>
      </c>
      <c r="G2" s="11" t="s">
        <v>450</v>
      </c>
      <c r="H2" s="11" t="s">
        <v>451</v>
      </c>
      <c r="I2" s="13" t="s">
        <v>40</v>
      </c>
    </row>
    <row r="3" customFormat="false" ht="15" hidden="false" customHeight="false" outlineLevel="0" collapsed="false">
      <c r="A3" s="11" t="s">
        <v>301</v>
      </c>
      <c r="B3" s="11" t="s">
        <v>302</v>
      </c>
      <c r="C3" s="12" t="n">
        <v>46296</v>
      </c>
      <c r="D3" s="11" t="str">
        <f aca="false">TEXT(C3,"ddd")</f>
        <v>Thu</v>
      </c>
      <c r="E3" s="11" t="s">
        <v>149</v>
      </c>
      <c r="F3" s="11" t="s">
        <v>449</v>
      </c>
      <c r="G3" s="11" t="s">
        <v>452</v>
      </c>
      <c r="H3" s="11" t="s">
        <v>451</v>
      </c>
      <c r="I3" s="13" t="s">
        <v>40</v>
      </c>
    </row>
    <row r="4" customFormat="false" ht="23.85" hidden="false" customHeight="false" outlineLevel="0" collapsed="false">
      <c r="A4" s="11" t="s">
        <v>342</v>
      </c>
      <c r="B4" s="11" t="s">
        <v>343</v>
      </c>
      <c r="C4" s="12" t="n">
        <v>46296</v>
      </c>
      <c r="D4" s="11" t="str">
        <f aca="false">TEXT(C4,"ddd")</f>
        <v>Thu</v>
      </c>
      <c r="E4" s="11" t="s">
        <v>149</v>
      </c>
      <c r="F4" s="11" t="s">
        <v>449</v>
      </c>
      <c r="G4" s="11" t="s">
        <v>453</v>
      </c>
      <c r="H4" s="11" t="s">
        <v>451</v>
      </c>
      <c r="I4" s="13" t="s">
        <v>40</v>
      </c>
    </row>
    <row r="5" customFormat="false" ht="15" hidden="false" customHeight="false" outlineLevel="0" collapsed="false">
      <c r="A5" s="11" t="s">
        <v>394</v>
      </c>
      <c r="B5" s="11" t="s">
        <v>395</v>
      </c>
      <c r="C5" s="12" t="n">
        <v>46296</v>
      </c>
      <c r="D5" s="11" t="str">
        <f aca="false">TEXT(C5,"ddd")</f>
        <v>Thu</v>
      </c>
      <c r="E5" s="11" t="s">
        <v>66</v>
      </c>
      <c r="F5" s="11" t="s">
        <v>454</v>
      </c>
      <c r="G5" s="11" t="s">
        <v>455</v>
      </c>
      <c r="H5" s="11"/>
      <c r="I5" s="13" t="s">
        <v>40</v>
      </c>
    </row>
    <row r="6" customFormat="false" ht="15" hidden="false" customHeight="false" outlineLevel="0" collapsed="false">
      <c r="A6" s="11" t="s">
        <v>270</v>
      </c>
      <c r="B6" s="11" t="s">
        <v>271</v>
      </c>
      <c r="C6" s="12" t="n">
        <v>46296</v>
      </c>
      <c r="D6" s="11" t="str">
        <f aca="false">TEXT(C6,"ddd")</f>
        <v>Thu</v>
      </c>
      <c r="E6" s="11" t="s">
        <v>71</v>
      </c>
      <c r="F6" s="11" t="s">
        <v>456</v>
      </c>
      <c r="G6" s="11" t="s">
        <v>457</v>
      </c>
      <c r="H6" s="11" t="s">
        <v>451</v>
      </c>
      <c r="I6" s="13" t="s">
        <v>40</v>
      </c>
    </row>
    <row r="7" customFormat="false" ht="15" hidden="false" customHeight="false" outlineLevel="0" collapsed="false">
      <c r="A7" s="11" t="s">
        <v>286</v>
      </c>
      <c r="B7" s="11" t="s">
        <v>287</v>
      </c>
      <c r="C7" s="12" t="n">
        <v>46296</v>
      </c>
      <c r="D7" s="11" t="str">
        <f aca="false">TEXT(C7,"ddd")</f>
        <v>Thu</v>
      </c>
      <c r="E7" s="11" t="s">
        <v>71</v>
      </c>
      <c r="F7" s="11" t="s">
        <v>456</v>
      </c>
      <c r="G7" s="11" t="s">
        <v>458</v>
      </c>
      <c r="H7" s="11" t="s">
        <v>451</v>
      </c>
      <c r="I7" s="13" t="s">
        <v>40</v>
      </c>
    </row>
    <row r="8" customFormat="false" ht="15" hidden="false" customHeight="false" outlineLevel="0" collapsed="false">
      <c r="A8" s="11" t="s">
        <v>315</v>
      </c>
      <c r="B8" s="11" t="s">
        <v>316</v>
      </c>
      <c r="C8" s="12" t="n">
        <v>46296</v>
      </c>
      <c r="D8" s="11" t="str">
        <f aca="false">TEXT(C8,"ddd")</f>
        <v>Thu</v>
      </c>
      <c r="E8" s="11" t="s">
        <v>71</v>
      </c>
      <c r="F8" s="11" t="s">
        <v>456</v>
      </c>
      <c r="G8" s="11" t="s">
        <v>459</v>
      </c>
      <c r="H8" s="11" t="s">
        <v>451</v>
      </c>
      <c r="I8" s="13" t="s">
        <v>40</v>
      </c>
    </row>
    <row r="9" customFormat="false" ht="15" hidden="false" customHeight="false" outlineLevel="0" collapsed="false">
      <c r="A9" s="11" t="s">
        <v>356</v>
      </c>
      <c r="B9" s="11" t="s">
        <v>357</v>
      </c>
      <c r="C9" s="12" t="n">
        <v>46296</v>
      </c>
      <c r="D9" s="11" t="str">
        <f aca="false">TEXT(C9,"ddd")</f>
        <v>Thu</v>
      </c>
      <c r="E9" s="11" t="s">
        <v>71</v>
      </c>
      <c r="F9" s="11" t="s">
        <v>456</v>
      </c>
      <c r="G9" s="11" t="s">
        <v>460</v>
      </c>
      <c r="H9" s="11" t="s">
        <v>451</v>
      </c>
      <c r="I9" s="13" t="s">
        <v>40</v>
      </c>
    </row>
    <row r="10" customFormat="false" ht="15" hidden="false" customHeight="false" outlineLevel="0" collapsed="false">
      <c r="A10" s="11" t="s">
        <v>270</v>
      </c>
      <c r="B10" s="11" t="s">
        <v>271</v>
      </c>
      <c r="C10" s="12" t="n">
        <v>46296</v>
      </c>
      <c r="D10" s="11" t="str">
        <f aca="false">TEXT(C10,"ddd")</f>
        <v>Thu</v>
      </c>
      <c r="E10" s="11" t="s">
        <v>159</v>
      </c>
      <c r="F10" s="11" t="s">
        <v>461</v>
      </c>
      <c r="G10" s="11" t="s">
        <v>462</v>
      </c>
      <c r="H10" s="11" t="s">
        <v>463</v>
      </c>
      <c r="I10" s="13" t="s">
        <v>40</v>
      </c>
    </row>
    <row r="11" customFormat="false" ht="15" hidden="false" customHeight="false" outlineLevel="0" collapsed="false">
      <c r="A11" s="11" t="s">
        <v>286</v>
      </c>
      <c r="B11" s="11" t="s">
        <v>287</v>
      </c>
      <c r="C11" s="12" t="n">
        <v>46296</v>
      </c>
      <c r="D11" s="11" t="str">
        <f aca="false">TEXT(C11,"ddd")</f>
        <v>Thu</v>
      </c>
      <c r="E11" s="11" t="s">
        <v>159</v>
      </c>
      <c r="F11" s="11" t="s">
        <v>461</v>
      </c>
      <c r="G11" s="11" t="s">
        <v>464</v>
      </c>
      <c r="H11" s="11" t="s">
        <v>463</v>
      </c>
      <c r="I11" s="13" t="s">
        <v>40</v>
      </c>
    </row>
    <row r="12" customFormat="false" ht="15" hidden="false" customHeight="false" outlineLevel="0" collapsed="false">
      <c r="A12" s="11" t="s">
        <v>315</v>
      </c>
      <c r="B12" s="11" t="s">
        <v>316</v>
      </c>
      <c r="C12" s="12" t="n">
        <v>46296</v>
      </c>
      <c r="D12" s="11" t="str">
        <f aca="false">TEXT(C12,"ddd")</f>
        <v>Thu</v>
      </c>
      <c r="E12" s="11" t="s">
        <v>159</v>
      </c>
      <c r="F12" s="11" t="s">
        <v>461</v>
      </c>
      <c r="G12" s="11" t="s">
        <v>465</v>
      </c>
      <c r="H12" s="11" t="s">
        <v>463</v>
      </c>
      <c r="I12" s="13" t="s">
        <v>40</v>
      </c>
    </row>
    <row r="13" customFormat="false" ht="23.85" hidden="false" customHeight="false" outlineLevel="0" collapsed="false">
      <c r="A13" s="11" t="s">
        <v>342</v>
      </c>
      <c r="B13" s="11" t="s">
        <v>343</v>
      </c>
      <c r="C13" s="12" t="n">
        <v>46296</v>
      </c>
      <c r="D13" s="11" t="str">
        <f aca="false">TEXT(C13,"ddd")</f>
        <v>Thu</v>
      </c>
      <c r="E13" s="11" t="s">
        <v>159</v>
      </c>
      <c r="F13" s="11" t="s">
        <v>461</v>
      </c>
      <c r="G13" s="11" t="s">
        <v>466</v>
      </c>
      <c r="H13" s="11" t="s">
        <v>463</v>
      </c>
      <c r="I13" s="13" t="s">
        <v>40</v>
      </c>
    </row>
    <row r="14" customFormat="false" ht="15" hidden="false" customHeight="false" outlineLevel="0" collapsed="false">
      <c r="A14" s="11" t="s">
        <v>356</v>
      </c>
      <c r="B14" s="11" t="s">
        <v>357</v>
      </c>
      <c r="C14" s="12" t="n">
        <v>46296</v>
      </c>
      <c r="D14" s="11" t="str">
        <f aca="false">TEXT(C14,"ddd")</f>
        <v>Thu</v>
      </c>
      <c r="E14" s="11" t="s">
        <v>159</v>
      </c>
      <c r="F14" s="11" t="s">
        <v>461</v>
      </c>
      <c r="G14" s="11" t="s">
        <v>467</v>
      </c>
      <c r="H14" s="11" t="s">
        <v>463</v>
      </c>
      <c r="I14" s="13" t="s">
        <v>40</v>
      </c>
    </row>
    <row r="15" customFormat="false" ht="15" hidden="false" customHeight="false" outlineLevel="0" collapsed="false">
      <c r="A15" s="11" t="s">
        <v>370</v>
      </c>
      <c r="B15" s="11" t="s">
        <v>371</v>
      </c>
      <c r="C15" s="12" t="n">
        <v>46296</v>
      </c>
      <c r="D15" s="11" t="str">
        <f aca="false">TEXT(C15,"ddd")</f>
        <v>Thu</v>
      </c>
      <c r="E15" s="11" t="s">
        <v>159</v>
      </c>
      <c r="F15" s="11" t="s">
        <v>461</v>
      </c>
      <c r="G15" s="11" t="s">
        <v>468</v>
      </c>
      <c r="H15" s="11" t="s">
        <v>463</v>
      </c>
      <c r="I15" s="13" t="s">
        <v>40</v>
      </c>
    </row>
    <row r="16" customFormat="false" ht="15" hidden="false" customHeight="false" outlineLevel="0" collapsed="false">
      <c r="A16" s="11" t="s">
        <v>382</v>
      </c>
      <c r="B16" s="11" t="s">
        <v>383</v>
      </c>
      <c r="C16" s="12" t="n">
        <v>46296</v>
      </c>
      <c r="D16" s="11" t="str">
        <f aca="false">TEXT(C16,"ddd")</f>
        <v>Thu</v>
      </c>
      <c r="E16" s="11" t="s">
        <v>159</v>
      </c>
      <c r="F16" s="11" t="s">
        <v>461</v>
      </c>
      <c r="G16" s="11" t="s">
        <v>469</v>
      </c>
      <c r="H16" s="11" t="s">
        <v>463</v>
      </c>
      <c r="I16" s="13" t="s">
        <v>40</v>
      </c>
    </row>
    <row r="17" customFormat="false" ht="15" hidden="false" customHeight="false" outlineLevel="0" collapsed="false">
      <c r="A17" s="11" t="s">
        <v>394</v>
      </c>
      <c r="B17" s="11" t="s">
        <v>395</v>
      </c>
      <c r="C17" s="12" t="n">
        <v>46296</v>
      </c>
      <c r="D17" s="11" t="str">
        <f aca="false">TEXT(C17,"ddd")</f>
        <v>Thu</v>
      </c>
      <c r="E17" s="11" t="s">
        <v>163</v>
      </c>
      <c r="F17" s="11" t="s">
        <v>470</v>
      </c>
      <c r="G17" s="11" t="s">
        <v>471</v>
      </c>
      <c r="H17" s="11" t="s">
        <v>472</v>
      </c>
      <c r="I17" s="13" t="s">
        <v>40</v>
      </c>
    </row>
    <row r="18" customFormat="false" ht="15" hidden="false" customHeight="false" outlineLevel="0" collapsed="false">
      <c r="A18" s="11" t="s">
        <v>406</v>
      </c>
      <c r="B18" s="11" t="s">
        <v>407</v>
      </c>
      <c r="C18" s="12" t="n">
        <v>46296</v>
      </c>
      <c r="D18" s="11" t="str">
        <f aca="false">TEXT(C18,"ddd")</f>
        <v>Thu</v>
      </c>
      <c r="E18" s="11" t="s">
        <v>163</v>
      </c>
      <c r="F18" s="11" t="s">
        <v>473</v>
      </c>
      <c r="G18" s="11" t="s">
        <v>474</v>
      </c>
      <c r="H18" s="11" t="s">
        <v>472</v>
      </c>
      <c r="I18" s="13" t="s">
        <v>40</v>
      </c>
    </row>
    <row r="19" customFormat="false" ht="15" hidden="false" customHeight="false" outlineLevel="0" collapsed="false">
      <c r="A19" s="11" t="s">
        <v>418</v>
      </c>
      <c r="B19" s="11" t="s">
        <v>419</v>
      </c>
      <c r="C19" s="12" t="n">
        <v>46296</v>
      </c>
      <c r="D19" s="11" t="str">
        <f aca="false">TEXT(C19,"ddd")</f>
        <v>Thu</v>
      </c>
      <c r="E19" s="11" t="s">
        <v>163</v>
      </c>
      <c r="F19" s="11" t="s">
        <v>473</v>
      </c>
      <c r="G19" s="11" t="s">
        <v>475</v>
      </c>
      <c r="H19" s="11" t="s">
        <v>472</v>
      </c>
      <c r="I19" s="13" t="s">
        <v>40</v>
      </c>
    </row>
    <row r="20" customFormat="false" ht="15" hidden="false" customHeight="false" outlineLevel="0" collapsed="false">
      <c r="A20" s="11" t="s">
        <v>286</v>
      </c>
      <c r="B20" s="11" t="s">
        <v>287</v>
      </c>
      <c r="C20" s="12" t="n">
        <v>46296</v>
      </c>
      <c r="D20" s="11" t="str">
        <f aca="false">TEXT(C20,"ddd")</f>
        <v>Thu</v>
      </c>
      <c r="E20" s="11" t="s">
        <v>163</v>
      </c>
      <c r="F20" s="11" t="s">
        <v>473</v>
      </c>
      <c r="G20" s="11" t="s">
        <v>476</v>
      </c>
      <c r="H20" s="11" t="s">
        <v>472</v>
      </c>
      <c r="I20" s="13" t="s">
        <v>40</v>
      </c>
    </row>
    <row r="21" customFormat="false" ht="15" hidden="false" customHeight="false" outlineLevel="0" collapsed="false">
      <c r="A21" s="11" t="s">
        <v>329</v>
      </c>
      <c r="B21" s="11" t="s">
        <v>330</v>
      </c>
      <c r="C21" s="12" t="n">
        <v>46296</v>
      </c>
      <c r="D21" s="11" t="str">
        <f aca="false">TEXT(C21,"ddd")</f>
        <v>Thu</v>
      </c>
      <c r="E21" s="11" t="s">
        <v>163</v>
      </c>
      <c r="F21" s="11" t="s">
        <v>477</v>
      </c>
      <c r="G21" s="11" t="s">
        <v>478</v>
      </c>
      <c r="H21" s="11" t="s">
        <v>472</v>
      </c>
      <c r="I21" s="13" t="s">
        <v>40</v>
      </c>
    </row>
    <row r="22" customFormat="false" ht="15" hidden="false" customHeight="false" outlineLevel="0" collapsed="false">
      <c r="A22" s="11" t="s">
        <v>370</v>
      </c>
      <c r="B22" s="11" t="s">
        <v>371</v>
      </c>
      <c r="C22" s="12" t="n">
        <v>46297</v>
      </c>
      <c r="D22" s="11" t="str">
        <f aca="false">TEXT(C22,"ddd")</f>
        <v>Fri</v>
      </c>
      <c r="E22" s="11" t="s">
        <v>71</v>
      </c>
      <c r="F22" s="11" t="s">
        <v>456</v>
      </c>
      <c r="G22" s="11" t="s">
        <v>479</v>
      </c>
      <c r="H22" s="11" t="s">
        <v>451</v>
      </c>
      <c r="I22" s="13" t="s">
        <v>40</v>
      </c>
    </row>
    <row r="23" customFormat="false" ht="15" hidden="false" customHeight="false" outlineLevel="0" collapsed="false">
      <c r="A23" s="11" t="s">
        <v>301</v>
      </c>
      <c r="B23" s="11" t="s">
        <v>302</v>
      </c>
      <c r="C23" s="12" t="n">
        <v>46297</v>
      </c>
      <c r="D23" s="11" t="str">
        <f aca="false">TEXT(C23,"ddd")</f>
        <v>Fri</v>
      </c>
      <c r="E23" s="11" t="s">
        <v>163</v>
      </c>
      <c r="F23" s="11" t="s">
        <v>477</v>
      </c>
      <c r="G23" s="11" t="s">
        <v>480</v>
      </c>
      <c r="H23" s="11"/>
      <c r="I23" s="13" t="s">
        <v>40</v>
      </c>
    </row>
    <row r="24" customFormat="false" ht="15" hidden="false" customHeight="false" outlineLevel="0" collapsed="false">
      <c r="A24" s="11" t="s">
        <v>428</v>
      </c>
      <c r="B24" s="11" t="s">
        <v>429</v>
      </c>
      <c r="C24" s="12" t="n">
        <v>46301</v>
      </c>
      <c r="D24" s="11" t="str">
        <f aca="false">TEXT(C24,"ddd")</f>
        <v>Tue</v>
      </c>
      <c r="E24" s="11" t="s">
        <v>448</v>
      </c>
      <c r="F24" s="11" t="s">
        <v>449</v>
      </c>
      <c r="G24" s="11" t="s">
        <v>481</v>
      </c>
      <c r="H24" s="11" t="s">
        <v>482</v>
      </c>
      <c r="I24" s="13" t="s">
        <v>40</v>
      </c>
    </row>
    <row r="25" customFormat="false" ht="15" hidden="false" customHeight="false" outlineLevel="0" collapsed="false">
      <c r="A25" s="11" t="s">
        <v>301</v>
      </c>
      <c r="B25" s="11" t="s">
        <v>302</v>
      </c>
      <c r="C25" s="12" t="n">
        <v>46301</v>
      </c>
      <c r="D25" s="11" t="str">
        <f aca="false">TEXT(C25,"ddd")</f>
        <v>Tue</v>
      </c>
      <c r="E25" s="11" t="s">
        <v>149</v>
      </c>
      <c r="F25" s="11" t="s">
        <v>449</v>
      </c>
      <c r="G25" s="11" t="s">
        <v>483</v>
      </c>
      <c r="H25" s="11" t="s">
        <v>482</v>
      </c>
      <c r="I25" s="13" t="s">
        <v>40</v>
      </c>
    </row>
    <row r="26" customFormat="false" ht="23.85" hidden="false" customHeight="false" outlineLevel="0" collapsed="false">
      <c r="A26" s="11" t="s">
        <v>342</v>
      </c>
      <c r="B26" s="11" t="s">
        <v>343</v>
      </c>
      <c r="C26" s="12" t="n">
        <v>46301</v>
      </c>
      <c r="D26" s="11" t="str">
        <f aca="false">TEXT(C26,"ddd")</f>
        <v>Tue</v>
      </c>
      <c r="E26" s="11" t="s">
        <v>149</v>
      </c>
      <c r="F26" s="11" t="s">
        <v>449</v>
      </c>
      <c r="G26" s="11" t="s">
        <v>483</v>
      </c>
      <c r="H26" s="11" t="s">
        <v>482</v>
      </c>
      <c r="I26" s="13" t="s">
        <v>40</v>
      </c>
    </row>
    <row r="27" customFormat="false" ht="15" hidden="false" customHeight="false" outlineLevel="0" collapsed="false">
      <c r="A27" s="11" t="s">
        <v>270</v>
      </c>
      <c r="B27" s="11" t="s">
        <v>271</v>
      </c>
      <c r="C27" s="12" t="n">
        <v>46301</v>
      </c>
      <c r="D27" s="11" t="str">
        <f aca="false">TEXT(C27,"ddd")</f>
        <v>Tue</v>
      </c>
      <c r="E27" s="11" t="s">
        <v>71</v>
      </c>
      <c r="F27" s="11" t="s">
        <v>461</v>
      </c>
      <c r="G27" s="11" t="s">
        <v>484</v>
      </c>
      <c r="H27" s="11" t="s">
        <v>482</v>
      </c>
      <c r="I27" s="13" t="s">
        <v>40</v>
      </c>
    </row>
    <row r="28" customFormat="false" ht="15" hidden="false" customHeight="false" outlineLevel="0" collapsed="false">
      <c r="A28" s="11" t="s">
        <v>394</v>
      </c>
      <c r="B28" s="11" t="s">
        <v>395</v>
      </c>
      <c r="C28" s="12" t="n">
        <v>46301</v>
      </c>
      <c r="D28" s="11" t="str">
        <f aca="false">TEXT(C28,"ddd")</f>
        <v>Tue</v>
      </c>
      <c r="E28" s="11" t="s">
        <v>71</v>
      </c>
      <c r="F28" s="11" t="s">
        <v>485</v>
      </c>
      <c r="G28" s="11" t="s">
        <v>486</v>
      </c>
      <c r="H28" s="11"/>
      <c r="I28" s="13" t="s">
        <v>40</v>
      </c>
    </row>
    <row r="29" customFormat="false" ht="15" hidden="false" customHeight="false" outlineLevel="0" collapsed="false">
      <c r="A29" s="11" t="s">
        <v>286</v>
      </c>
      <c r="B29" s="11" t="s">
        <v>287</v>
      </c>
      <c r="C29" s="12" t="n">
        <v>46301</v>
      </c>
      <c r="D29" s="11" t="str">
        <f aca="false">TEXT(C29,"ddd")</f>
        <v>Tue</v>
      </c>
      <c r="E29" s="11" t="s">
        <v>71</v>
      </c>
      <c r="F29" s="11" t="s">
        <v>487</v>
      </c>
      <c r="G29" s="11" t="s">
        <v>483</v>
      </c>
      <c r="H29" s="11" t="s">
        <v>482</v>
      </c>
      <c r="I29" s="13" t="s">
        <v>40</v>
      </c>
    </row>
    <row r="30" customFormat="false" ht="15" hidden="false" customHeight="false" outlineLevel="0" collapsed="false">
      <c r="A30" s="11" t="s">
        <v>315</v>
      </c>
      <c r="B30" s="11" t="s">
        <v>316</v>
      </c>
      <c r="C30" s="12" t="n">
        <v>46301</v>
      </c>
      <c r="D30" s="11" t="str">
        <f aca="false">TEXT(C30,"ddd")</f>
        <v>Tue</v>
      </c>
      <c r="E30" s="11" t="s">
        <v>71</v>
      </c>
      <c r="F30" s="11" t="s">
        <v>461</v>
      </c>
      <c r="G30" s="11" t="s">
        <v>483</v>
      </c>
      <c r="H30" s="11" t="s">
        <v>482</v>
      </c>
      <c r="I30" s="13" t="s">
        <v>40</v>
      </c>
    </row>
    <row r="31" customFormat="false" ht="15" hidden="false" customHeight="false" outlineLevel="0" collapsed="false">
      <c r="A31" s="11" t="s">
        <v>329</v>
      </c>
      <c r="B31" s="11" t="s">
        <v>330</v>
      </c>
      <c r="C31" s="12" t="n">
        <v>46301</v>
      </c>
      <c r="D31" s="11" t="str">
        <f aca="false">TEXT(C31,"ddd")</f>
        <v>Tue</v>
      </c>
      <c r="E31" s="11" t="s">
        <v>71</v>
      </c>
      <c r="F31" s="11" t="s">
        <v>477</v>
      </c>
      <c r="G31" s="11" t="s">
        <v>488</v>
      </c>
      <c r="H31" s="11" t="s">
        <v>482</v>
      </c>
      <c r="I31" s="13" t="s">
        <v>40</v>
      </c>
    </row>
    <row r="32" customFormat="false" ht="15" hidden="false" customHeight="false" outlineLevel="0" collapsed="false">
      <c r="A32" s="11" t="s">
        <v>356</v>
      </c>
      <c r="B32" s="11" t="s">
        <v>357</v>
      </c>
      <c r="C32" s="12" t="n">
        <v>46301</v>
      </c>
      <c r="D32" s="11" t="str">
        <f aca="false">TEXT(C32,"ddd")</f>
        <v>Tue</v>
      </c>
      <c r="E32" s="11" t="s">
        <v>71</v>
      </c>
      <c r="F32" s="11" t="s">
        <v>461</v>
      </c>
      <c r="G32" s="11" t="s">
        <v>483</v>
      </c>
      <c r="H32" s="11" t="s">
        <v>482</v>
      </c>
      <c r="I32" s="13" t="s">
        <v>40</v>
      </c>
    </row>
    <row r="33" customFormat="false" ht="15" hidden="false" customHeight="false" outlineLevel="0" collapsed="false">
      <c r="A33" s="11" t="s">
        <v>370</v>
      </c>
      <c r="B33" s="11" t="s">
        <v>371</v>
      </c>
      <c r="C33" s="12" t="n">
        <v>46301</v>
      </c>
      <c r="D33" s="11" t="str">
        <f aca="false">TEXT(C33,"ddd")</f>
        <v>Tue</v>
      </c>
      <c r="E33" s="11" t="s">
        <v>71</v>
      </c>
      <c r="F33" s="11" t="s">
        <v>461</v>
      </c>
      <c r="G33" s="11" t="s">
        <v>483</v>
      </c>
      <c r="H33" s="11" t="s">
        <v>482</v>
      </c>
      <c r="I33" s="13" t="s">
        <v>40</v>
      </c>
    </row>
    <row r="34" customFormat="false" ht="15" hidden="false" customHeight="false" outlineLevel="0" collapsed="false">
      <c r="A34" s="11" t="s">
        <v>382</v>
      </c>
      <c r="B34" s="11" t="s">
        <v>383</v>
      </c>
      <c r="C34" s="12" t="n">
        <v>46301</v>
      </c>
      <c r="D34" s="11" t="str">
        <f aca="false">TEXT(C34,"ddd")</f>
        <v>Tue</v>
      </c>
      <c r="E34" s="11" t="s">
        <v>71</v>
      </c>
      <c r="F34" s="11" t="s">
        <v>461</v>
      </c>
      <c r="G34" s="11" t="s">
        <v>489</v>
      </c>
      <c r="H34" s="11" t="s">
        <v>482</v>
      </c>
      <c r="I34" s="13" t="s">
        <v>40</v>
      </c>
    </row>
    <row r="35" customFormat="false" ht="15" hidden="false" customHeight="false" outlineLevel="0" collapsed="false">
      <c r="A35" s="11" t="s">
        <v>406</v>
      </c>
      <c r="B35" s="11" t="s">
        <v>407</v>
      </c>
      <c r="C35" s="12" t="n">
        <v>46301</v>
      </c>
      <c r="D35" s="11" t="str">
        <f aca="false">TEXT(C35,"ddd")</f>
        <v>Tue</v>
      </c>
      <c r="E35" s="11" t="s">
        <v>163</v>
      </c>
      <c r="F35" s="11" t="s">
        <v>473</v>
      </c>
      <c r="G35" s="11" t="s">
        <v>490</v>
      </c>
      <c r="H35" s="11" t="s">
        <v>472</v>
      </c>
      <c r="I35" s="13" t="s">
        <v>40</v>
      </c>
    </row>
    <row r="36" customFormat="false" ht="15" hidden="false" customHeight="false" outlineLevel="0" collapsed="false">
      <c r="A36" s="11" t="s">
        <v>418</v>
      </c>
      <c r="B36" s="11" t="s">
        <v>419</v>
      </c>
      <c r="C36" s="12" t="n">
        <v>46301</v>
      </c>
      <c r="D36" s="11" t="str">
        <f aca="false">TEXT(C36,"ddd")</f>
        <v>Tue</v>
      </c>
      <c r="E36" s="11" t="s">
        <v>163</v>
      </c>
      <c r="F36" s="11" t="s">
        <v>473</v>
      </c>
      <c r="G36" s="11" t="s">
        <v>490</v>
      </c>
      <c r="H36" s="11" t="s">
        <v>472</v>
      </c>
      <c r="I36" s="13" t="s">
        <v>40</v>
      </c>
    </row>
    <row r="37" customFormat="false" ht="23.85" hidden="false" customHeight="false" outlineLevel="0" collapsed="false">
      <c r="A37" s="11" t="s">
        <v>342</v>
      </c>
      <c r="B37" s="11" t="s">
        <v>343</v>
      </c>
      <c r="C37" s="12" t="n">
        <v>46302</v>
      </c>
      <c r="D37" s="11" t="str">
        <f aca="false">TEXT(C37,"ddd")</f>
        <v>Wed</v>
      </c>
      <c r="E37" s="11" t="s">
        <v>159</v>
      </c>
      <c r="F37" s="11" t="s">
        <v>491</v>
      </c>
      <c r="G37" s="11" t="s">
        <v>492</v>
      </c>
      <c r="H37" s="11" t="s">
        <v>493</v>
      </c>
      <c r="I37" s="13" t="s">
        <v>40</v>
      </c>
    </row>
    <row r="38" customFormat="false" ht="23.85" hidden="false" customHeight="false" outlineLevel="0" collapsed="false">
      <c r="A38" s="11" t="s">
        <v>342</v>
      </c>
      <c r="B38" s="11" t="s">
        <v>343</v>
      </c>
      <c r="C38" s="12" t="n">
        <v>46303</v>
      </c>
      <c r="D38" s="11" t="str">
        <f aca="false">TEXT(C38,"ddd")</f>
        <v>Thu</v>
      </c>
      <c r="E38" s="11" t="s">
        <v>111</v>
      </c>
      <c r="F38" s="11" t="s">
        <v>494</v>
      </c>
      <c r="G38" s="11" t="s">
        <v>495</v>
      </c>
      <c r="H38" s="11" t="s">
        <v>496</v>
      </c>
      <c r="I38" s="13" t="s">
        <v>40</v>
      </c>
    </row>
    <row r="39" customFormat="false" ht="15" hidden="false" customHeight="false" outlineLevel="0" collapsed="false">
      <c r="A39" s="11" t="s">
        <v>428</v>
      </c>
      <c r="B39" s="11" t="s">
        <v>429</v>
      </c>
      <c r="C39" s="12" t="n">
        <v>46307</v>
      </c>
      <c r="D39" s="11" t="str">
        <f aca="false">TEXT(C39,"ddd")</f>
        <v>Mon</v>
      </c>
      <c r="E39" s="11" t="s">
        <v>448</v>
      </c>
      <c r="F39" s="11" t="s">
        <v>449</v>
      </c>
      <c r="G39" s="11" t="s">
        <v>497</v>
      </c>
      <c r="H39" s="11" t="s">
        <v>498</v>
      </c>
      <c r="I39" s="13" t="s">
        <v>40</v>
      </c>
    </row>
    <row r="40" customFormat="false" ht="15" hidden="false" customHeight="false" outlineLevel="0" collapsed="false">
      <c r="A40" s="11" t="s">
        <v>301</v>
      </c>
      <c r="B40" s="11" t="s">
        <v>302</v>
      </c>
      <c r="C40" s="12" t="n">
        <v>46307</v>
      </c>
      <c r="D40" s="11" t="str">
        <f aca="false">TEXT(C40,"ddd")</f>
        <v>Mon</v>
      </c>
      <c r="E40" s="11" t="s">
        <v>149</v>
      </c>
      <c r="F40" s="11" t="s">
        <v>449</v>
      </c>
      <c r="G40" s="11" t="s">
        <v>499</v>
      </c>
      <c r="H40" s="11" t="s">
        <v>498</v>
      </c>
      <c r="I40" s="13" t="s">
        <v>40</v>
      </c>
    </row>
    <row r="41" customFormat="false" ht="23.85" hidden="false" customHeight="false" outlineLevel="0" collapsed="false">
      <c r="A41" s="11" t="s">
        <v>342</v>
      </c>
      <c r="B41" s="11" t="s">
        <v>343</v>
      </c>
      <c r="C41" s="12" t="n">
        <v>46307</v>
      </c>
      <c r="D41" s="11" t="str">
        <f aca="false">TEXT(C41,"ddd")</f>
        <v>Mon</v>
      </c>
      <c r="E41" s="11" t="s">
        <v>149</v>
      </c>
      <c r="F41" s="11" t="s">
        <v>449</v>
      </c>
      <c r="G41" s="11" t="s">
        <v>499</v>
      </c>
      <c r="H41" s="11" t="s">
        <v>498</v>
      </c>
      <c r="I41" s="13" t="s">
        <v>40</v>
      </c>
    </row>
    <row r="42" customFormat="false" ht="15" hidden="false" customHeight="false" outlineLevel="0" collapsed="false">
      <c r="A42" s="11" t="s">
        <v>270</v>
      </c>
      <c r="B42" s="11" t="s">
        <v>271</v>
      </c>
      <c r="C42" s="12" t="n">
        <v>46307</v>
      </c>
      <c r="D42" s="11" t="str">
        <f aca="false">TEXT(C42,"ddd")</f>
        <v>Mon</v>
      </c>
      <c r="E42" s="11" t="s">
        <v>71</v>
      </c>
      <c r="F42" s="11" t="s">
        <v>461</v>
      </c>
      <c r="G42" s="11" t="s">
        <v>499</v>
      </c>
      <c r="H42" s="11" t="s">
        <v>498</v>
      </c>
      <c r="I42" s="13" t="s">
        <v>40</v>
      </c>
    </row>
    <row r="43" customFormat="false" ht="15" hidden="false" customHeight="false" outlineLevel="0" collapsed="false">
      <c r="A43" s="11" t="s">
        <v>286</v>
      </c>
      <c r="B43" s="11" t="s">
        <v>287</v>
      </c>
      <c r="C43" s="12" t="n">
        <v>46307</v>
      </c>
      <c r="D43" s="11" t="str">
        <f aca="false">TEXT(C43,"ddd")</f>
        <v>Mon</v>
      </c>
      <c r="E43" s="11" t="s">
        <v>71</v>
      </c>
      <c r="F43" s="11" t="s">
        <v>487</v>
      </c>
      <c r="G43" s="11" t="s">
        <v>499</v>
      </c>
      <c r="H43" s="11" t="s">
        <v>498</v>
      </c>
      <c r="I43" s="13" t="s">
        <v>40</v>
      </c>
    </row>
    <row r="44" customFormat="false" ht="15" hidden="false" customHeight="false" outlineLevel="0" collapsed="false">
      <c r="A44" s="11" t="s">
        <v>315</v>
      </c>
      <c r="B44" s="11" t="s">
        <v>316</v>
      </c>
      <c r="C44" s="12" t="n">
        <v>46307</v>
      </c>
      <c r="D44" s="11" t="str">
        <f aca="false">TEXT(C44,"ddd")</f>
        <v>Mon</v>
      </c>
      <c r="E44" s="11" t="s">
        <v>71</v>
      </c>
      <c r="F44" s="11" t="s">
        <v>461</v>
      </c>
      <c r="G44" s="11" t="s">
        <v>499</v>
      </c>
      <c r="H44" s="11" t="s">
        <v>498</v>
      </c>
      <c r="I44" s="13" t="s">
        <v>40</v>
      </c>
    </row>
    <row r="45" customFormat="false" ht="15" hidden="false" customHeight="false" outlineLevel="0" collapsed="false">
      <c r="A45" s="11" t="s">
        <v>329</v>
      </c>
      <c r="B45" s="11" t="s">
        <v>330</v>
      </c>
      <c r="C45" s="12" t="n">
        <v>46307</v>
      </c>
      <c r="D45" s="11" t="str">
        <f aca="false">TEXT(C45,"ddd")</f>
        <v>Mon</v>
      </c>
      <c r="E45" s="11" t="s">
        <v>71</v>
      </c>
      <c r="F45" s="11" t="s">
        <v>477</v>
      </c>
      <c r="G45" s="11" t="s">
        <v>499</v>
      </c>
      <c r="H45" s="11" t="s">
        <v>498</v>
      </c>
      <c r="I45" s="13" t="s">
        <v>40</v>
      </c>
    </row>
    <row r="46" customFormat="false" ht="15" hidden="false" customHeight="false" outlineLevel="0" collapsed="false">
      <c r="A46" s="11" t="s">
        <v>356</v>
      </c>
      <c r="B46" s="11" t="s">
        <v>357</v>
      </c>
      <c r="C46" s="12" t="n">
        <v>46307</v>
      </c>
      <c r="D46" s="11" t="str">
        <f aca="false">TEXT(C46,"ddd")</f>
        <v>Mon</v>
      </c>
      <c r="E46" s="11" t="s">
        <v>71</v>
      </c>
      <c r="F46" s="11" t="s">
        <v>461</v>
      </c>
      <c r="G46" s="11" t="s">
        <v>499</v>
      </c>
      <c r="H46" s="11" t="s">
        <v>498</v>
      </c>
      <c r="I46" s="13" t="s">
        <v>40</v>
      </c>
    </row>
    <row r="47" customFormat="false" ht="15" hidden="false" customHeight="false" outlineLevel="0" collapsed="false">
      <c r="A47" s="11" t="s">
        <v>370</v>
      </c>
      <c r="B47" s="11" t="s">
        <v>371</v>
      </c>
      <c r="C47" s="12" t="n">
        <v>46307</v>
      </c>
      <c r="D47" s="11" t="str">
        <f aca="false">TEXT(C47,"ddd")</f>
        <v>Mon</v>
      </c>
      <c r="E47" s="11" t="s">
        <v>71</v>
      </c>
      <c r="F47" s="11" t="s">
        <v>461</v>
      </c>
      <c r="G47" s="11" t="s">
        <v>499</v>
      </c>
      <c r="H47" s="11" t="s">
        <v>498</v>
      </c>
      <c r="I47" s="13" t="s">
        <v>40</v>
      </c>
    </row>
    <row r="48" customFormat="false" ht="15" hidden="false" customHeight="false" outlineLevel="0" collapsed="false">
      <c r="A48" s="11" t="s">
        <v>382</v>
      </c>
      <c r="B48" s="11" t="s">
        <v>383</v>
      </c>
      <c r="C48" s="12" t="n">
        <v>46307</v>
      </c>
      <c r="D48" s="11" t="str">
        <f aca="false">TEXT(C48,"ddd")</f>
        <v>Mon</v>
      </c>
      <c r="E48" s="11" t="s">
        <v>71</v>
      </c>
      <c r="F48" s="11" t="s">
        <v>461</v>
      </c>
      <c r="G48" s="11" t="s">
        <v>500</v>
      </c>
      <c r="H48" s="11"/>
      <c r="I48" s="13" t="s">
        <v>40</v>
      </c>
    </row>
    <row r="49" customFormat="false" ht="15" hidden="false" customHeight="false" outlineLevel="0" collapsed="false">
      <c r="A49" s="11" t="s">
        <v>270</v>
      </c>
      <c r="B49" s="11" t="s">
        <v>271</v>
      </c>
      <c r="C49" s="12" t="n">
        <v>46310</v>
      </c>
      <c r="D49" s="11" t="str">
        <f aca="false">TEXT(C49,"ddd")</f>
        <v>Thu</v>
      </c>
      <c r="E49" s="11" t="s">
        <v>93</v>
      </c>
      <c r="F49" s="11" t="s">
        <v>461</v>
      </c>
      <c r="G49" s="11" t="s">
        <v>501</v>
      </c>
      <c r="H49" s="11" t="s">
        <v>493</v>
      </c>
      <c r="I49" s="13" t="s">
        <v>40</v>
      </c>
    </row>
  </sheetData>
  <autoFilter ref="A1:I49"/>
  <dataValidations count="1">
    <dataValidation allowBlank="true" errorStyle="stop" operator="between" showDropDown="false" showErrorMessage="false" showInputMessage="false" sqref="I2:I49" type="list">
      <formula1>"Not started,In progress,Done,Blocked,Skipped"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0"/>
  </cols>
  <sheetData>
    <row r="1" customFormat="false" ht="15" hidden="false" customHeight="false" outlineLevel="0" collapsed="false">
      <c r="A1" s="10" t="s">
        <v>502</v>
      </c>
      <c r="B1" s="10" t="s">
        <v>503</v>
      </c>
    </row>
    <row r="2" customFormat="false" ht="408.75" hidden="false" customHeight="true" outlineLevel="0" collapsed="false">
      <c r="A2" s="11" t="s">
        <v>504</v>
      </c>
      <c r="B2" s="11" t="s">
        <v>505</v>
      </c>
    </row>
    <row r="3" customFormat="false" ht="195" hidden="false" customHeight="true" outlineLevel="0" collapsed="false">
      <c r="A3" s="11" t="s">
        <v>506</v>
      </c>
      <c r="B3" s="11" t="s">
        <v>507</v>
      </c>
    </row>
    <row r="4" customFormat="false" ht="120" hidden="false" customHeight="true" outlineLevel="0" collapsed="false">
      <c r="A4" s="11" t="s">
        <v>508</v>
      </c>
      <c r="B4" s="11" t="s">
        <v>509</v>
      </c>
    </row>
    <row r="5" customFormat="false" ht="45" hidden="false" customHeight="true" outlineLevel="0" collapsed="false">
      <c r="A5" s="11" t="s">
        <v>510</v>
      </c>
      <c r="B5" s="11" t="s">
        <v>511</v>
      </c>
    </row>
    <row r="6" customFormat="false" ht="60" hidden="false" customHeight="true" outlineLevel="0" collapsed="false">
      <c r="A6" s="11" t="s">
        <v>512</v>
      </c>
      <c r="B6" s="11" t="s">
        <v>513</v>
      </c>
    </row>
    <row r="7" customFormat="false" ht="60" hidden="false" customHeight="true" outlineLevel="0" collapsed="false">
      <c r="A7" s="11" t="s">
        <v>514</v>
      </c>
      <c r="B7" s="11" t="s">
        <v>515</v>
      </c>
    </row>
    <row r="8" customFormat="false" ht="45" hidden="false" customHeight="true" outlineLevel="0" collapsed="false">
      <c r="A8" s="11" t="s">
        <v>516</v>
      </c>
      <c r="B8" s="11" t="s">
        <v>517</v>
      </c>
    </row>
    <row r="9" customFormat="false" ht="45" hidden="false" customHeight="true" outlineLevel="0" collapsed="false">
      <c r="A9" s="11" t="s">
        <v>518</v>
      </c>
      <c r="B9" s="11" t="s">
        <v>519</v>
      </c>
    </row>
    <row r="11" customFormat="false" ht="45" hidden="false" customHeight="true" outlineLevel="0" collapsed="false">
      <c r="A11" s="26" t="s">
        <v>520</v>
      </c>
      <c r="B11" s="2" t="s">
        <v>521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0" t="s">
        <v>522</v>
      </c>
      <c r="B1" s="10" t="s">
        <v>523</v>
      </c>
      <c r="C1" s="10" t="s">
        <v>524</v>
      </c>
    </row>
    <row r="2" customFormat="false" ht="23.85" hidden="false" customHeight="false" outlineLevel="0" collapsed="false">
      <c r="A2" s="11" t="s">
        <v>525</v>
      </c>
      <c r="B2" s="11" t="s">
        <v>526</v>
      </c>
      <c r="C2" s="11" t="s">
        <v>527</v>
      </c>
    </row>
    <row r="3" customFormat="false" ht="23.85" hidden="false" customHeight="false" outlineLevel="0" collapsed="false">
      <c r="A3" s="11" t="s">
        <v>528</v>
      </c>
      <c r="B3" s="11" t="s">
        <v>529</v>
      </c>
      <c r="C3" s="11" t="s">
        <v>530</v>
      </c>
    </row>
    <row r="4" customFormat="false" ht="23.85" hidden="false" customHeight="false" outlineLevel="0" collapsed="false">
      <c r="A4" s="11" t="s">
        <v>531</v>
      </c>
      <c r="B4" s="11" t="s">
        <v>532</v>
      </c>
      <c r="C4" s="11" t="s">
        <v>533</v>
      </c>
    </row>
    <row r="5" customFormat="false" ht="23.85" hidden="false" customHeight="false" outlineLevel="0" collapsed="false">
      <c r="A5" s="11" t="s">
        <v>534</v>
      </c>
      <c r="B5" s="11" t="s">
        <v>535</v>
      </c>
      <c r="C5" s="11" t="s">
        <v>536</v>
      </c>
    </row>
    <row r="6" customFormat="false" ht="23.85" hidden="false" customHeight="false" outlineLevel="0" collapsed="false">
      <c r="A6" s="11" t="s">
        <v>537</v>
      </c>
      <c r="B6" s="11" t="s">
        <v>538</v>
      </c>
      <c r="C6" s="11" t="s">
        <v>539</v>
      </c>
    </row>
    <row r="7" customFormat="false" ht="15" hidden="false" customHeight="false" outlineLevel="0" collapsed="false">
      <c r="A7" s="11" t="s">
        <v>540</v>
      </c>
      <c r="B7" s="11" t="s">
        <v>541</v>
      </c>
      <c r="C7" s="11" t="s">
        <v>542</v>
      </c>
    </row>
    <row r="8" customFormat="false" ht="23.85" hidden="false" customHeight="false" outlineLevel="0" collapsed="false">
      <c r="A8" s="11" t="s">
        <v>543</v>
      </c>
      <c r="B8" s="11" t="s">
        <v>544</v>
      </c>
      <c r="C8" s="11" t="s">
        <v>545</v>
      </c>
    </row>
    <row r="9" customFormat="false" ht="23.85" hidden="false" customHeight="false" outlineLevel="0" collapsed="false">
      <c r="A9" s="11" t="s">
        <v>546</v>
      </c>
      <c r="B9" s="11" t="s">
        <v>547</v>
      </c>
      <c r="C9" s="11" t="s">
        <v>548</v>
      </c>
    </row>
    <row r="10" customFormat="false" ht="23.85" hidden="false" customHeight="false" outlineLevel="0" collapsed="false">
      <c r="A10" s="11" t="s">
        <v>549</v>
      </c>
      <c r="B10" s="11" t="s">
        <v>550</v>
      </c>
      <c r="C10" s="11" t="s">
        <v>551</v>
      </c>
    </row>
    <row r="11" customFormat="false" ht="23.85" hidden="false" customHeight="false" outlineLevel="0" collapsed="false">
      <c r="A11" s="11" t="s">
        <v>552</v>
      </c>
      <c r="B11" s="11" t="s">
        <v>553</v>
      </c>
      <c r="C11" s="11" t="s">
        <v>554</v>
      </c>
    </row>
    <row r="12" customFormat="false" ht="23.85" hidden="false" customHeight="false" outlineLevel="0" collapsed="false">
      <c r="A12" s="11" t="s">
        <v>555</v>
      </c>
      <c r="B12" s="11" t="s">
        <v>556</v>
      </c>
      <c r="C12" s="11" t="s">
        <v>557</v>
      </c>
    </row>
    <row r="13" customFormat="false" ht="15" hidden="false" customHeight="false" outlineLevel="0" collapsed="false">
      <c r="A13" s="11" t="s">
        <v>558</v>
      </c>
      <c r="B13" s="11" t="s">
        <v>559</v>
      </c>
      <c r="C13" s="11" t="s">
        <v>560</v>
      </c>
    </row>
    <row r="14" customFormat="false" ht="15" hidden="false" customHeight="false" outlineLevel="0" collapsed="false">
      <c r="A14" s="11" t="s">
        <v>561</v>
      </c>
      <c r="B14" s="11" t="s">
        <v>562</v>
      </c>
      <c r="C14" s="11" t="s">
        <v>563</v>
      </c>
    </row>
    <row r="15" customFormat="false" ht="15" hidden="false" customHeight="false" outlineLevel="0" collapsed="false">
      <c r="A15" s="11" t="s">
        <v>564</v>
      </c>
      <c r="B15" s="11" t="s">
        <v>565</v>
      </c>
      <c r="C15" s="11" t="s">
        <v>566</v>
      </c>
    </row>
    <row r="16" customFormat="false" ht="15" hidden="false" customHeight="false" outlineLevel="0" collapsed="false">
      <c r="A16" s="11" t="s">
        <v>567</v>
      </c>
      <c r="B16" s="11" t="s">
        <v>568</v>
      </c>
      <c r="C16" s="11" t="s">
        <v>569</v>
      </c>
    </row>
    <row r="17" customFormat="false" ht="23.85" hidden="false" customHeight="false" outlineLevel="0" collapsed="false">
      <c r="A17" s="11" t="s">
        <v>570</v>
      </c>
      <c r="B17" s="11" t="s">
        <v>571</v>
      </c>
      <c r="C17" s="11" t="s">
        <v>572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6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3"/>
  </cols>
  <sheetData>
    <row r="1" customFormat="false" ht="15" hidden="false" customHeight="false" outlineLevel="0" collapsed="false">
      <c r="A1" s="10" t="s">
        <v>573</v>
      </c>
      <c r="B1" s="10" t="s">
        <v>574</v>
      </c>
      <c r="C1" s="10" t="s">
        <v>575</v>
      </c>
      <c r="D1" s="10" t="s">
        <v>576</v>
      </c>
      <c r="E1" s="10" t="s">
        <v>577</v>
      </c>
      <c r="F1" s="10" t="s">
        <v>578</v>
      </c>
      <c r="G1" s="10" t="s">
        <v>31</v>
      </c>
    </row>
    <row r="2" customFormat="false" ht="23.85" hidden="false" customHeight="false" outlineLevel="0" collapsed="false">
      <c r="A2" s="11" t="s">
        <v>395</v>
      </c>
      <c r="B2" s="11" t="s">
        <v>579</v>
      </c>
      <c r="C2" s="11" t="s">
        <v>580</v>
      </c>
      <c r="D2" s="11" t="s">
        <v>581</v>
      </c>
      <c r="E2" s="11" t="s">
        <v>582</v>
      </c>
      <c r="F2" s="11" t="s">
        <v>583</v>
      </c>
      <c r="G2" s="13" t="s">
        <v>40</v>
      </c>
    </row>
    <row r="3" customFormat="false" ht="15" hidden="false" customHeight="false" outlineLevel="0" collapsed="false">
      <c r="A3" s="11" t="s">
        <v>584</v>
      </c>
      <c r="B3" s="11" t="s">
        <v>585</v>
      </c>
      <c r="C3" s="11" t="s">
        <v>586</v>
      </c>
      <c r="D3" s="11" t="s">
        <v>587</v>
      </c>
      <c r="E3" s="11" t="s">
        <v>582</v>
      </c>
      <c r="F3" s="11" t="s">
        <v>588</v>
      </c>
      <c r="G3" s="13" t="s">
        <v>40</v>
      </c>
    </row>
    <row r="4" customFormat="false" ht="23.85" hidden="false" customHeight="false" outlineLevel="0" collapsed="false">
      <c r="A4" s="11" t="s">
        <v>589</v>
      </c>
      <c r="B4" s="11" t="s">
        <v>590</v>
      </c>
      <c r="C4" s="11" t="s">
        <v>591</v>
      </c>
      <c r="D4" s="11" t="s">
        <v>592</v>
      </c>
      <c r="E4" s="11" t="s">
        <v>582</v>
      </c>
      <c r="F4" s="11" t="s">
        <v>593</v>
      </c>
      <c r="G4" s="13" t="s">
        <v>40</v>
      </c>
    </row>
    <row r="5" customFormat="false" ht="23.85" hidden="false" customHeight="false" outlineLevel="0" collapsed="false">
      <c r="A5" s="11" t="s">
        <v>594</v>
      </c>
      <c r="B5" s="11" t="s">
        <v>595</v>
      </c>
      <c r="C5" s="11" t="s">
        <v>596</v>
      </c>
      <c r="D5" s="11" t="s">
        <v>597</v>
      </c>
      <c r="E5" s="11" t="s">
        <v>598</v>
      </c>
      <c r="F5" s="11" t="s">
        <v>599</v>
      </c>
      <c r="G5" s="13" t="s">
        <v>40</v>
      </c>
    </row>
    <row r="6" customFormat="false" ht="23.85" hidden="false" customHeight="false" outlineLevel="0" collapsed="false">
      <c r="A6" s="11" t="s">
        <v>600</v>
      </c>
      <c r="B6" s="11" t="s">
        <v>601</v>
      </c>
      <c r="C6" s="11" t="s">
        <v>602</v>
      </c>
      <c r="D6" s="11" t="s">
        <v>603</v>
      </c>
      <c r="E6" s="11" t="s">
        <v>604</v>
      </c>
      <c r="F6" s="11" t="s">
        <v>605</v>
      </c>
      <c r="G6" s="13" t="s">
        <v>40</v>
      </c>
    </row>
    <row r="7" customFormat="false" ht="23.85" hidden="false" customHeight="false" outlineLevel="0" collapsed="false">
      <c r="A7" s="11" t="s">
        <v>606</v>
      </c>
      <c r="B7" s="11" t="s">
        <v>607</v>
      </c>
      <c r="C7" s="11" t="s">
        <v>608</v>
      </c>
      <c r="D7" s="11" t="s">
        <v>609</v>
      </c>
      <c r="E7" s="11" t="s">
        <v>610</v>
      </c>
      <c r="F7" s="11" t="s">
        <v>611</v>
      </c>
      <c r="G7" s="13" t="s">
        <v>40</v>
      </c>
    </row>
    <row r="8" customFormat="false" ht="15" hidden="false" customHeight="false" outlineLevel="0" collapsed="false">
      <c r="A8" s="11" t="s">
        <v>612</v>
      </c>
      <c r="B8" s="11" t="s">
        <v>613</v>
      </c>
      <c r="C8" s="11" t="s">
        <v>614</v>
      </c>
      <c r="D8" s="11" t="s">
        <v>615</v>
      </c>
      <c r="E8" s="11" t="s">
        <v>616</v>
      </c>
      <c r="F8" s="11" t="s">
        <v>617</v>
      </c>
      <c r="G8" s="13" t="s">
        <v>40</v>
      </c>
    </row>
    <row r="9" customFormat="false" ht="15" hidden="false" customHeight="false" outlineLevel="0" collapsed="false">
      <c r="A9" s="11" t="s">
        <v>618</v>
      </c>
      <c r="B9" s="11" t="s">
        <v>619</v>
      </c>
      <c r="C9" s="11" t="s">
        <v>620</v>
      </c>
      <c r="D9" s="11" t="s">
        <v>621</v>
      </c>
      <c r="E9" s="11" t="s">
        <v>622</v>
      </c>
      <c r="F9" s="11" t="s">
        <v>306</v>
      </c>
      <c r="G9" s="13" t="s">
        <v>40</v>
      </c>
    </row>
    <row r="10" customFormat="false" ht="23.85" hidden="false" customHeight="false" outlineLevel="0" collapsed="false">
      <c r="A10" s="11" t="s">
        <v>623</v>
      </c>
      <c r="B10" s="11" t="s">
        <v>624</v>
      </c>
      <c r="C10" s="11" t="s">
        <v>625</v>
      </c>
      <c r="D10" s="11" t="s">
        <v>626</v>
      </c>
      <c r="E10" s="11" t="s">
        <v>627</v>
      </c>
      <c r="F10" s="11" t="s">
        <v>628</v>
      </c>
      <c r="G10" s="13" t="s">
        <v>40</v>
      </c>
    </row>
    <row r="11" customFormat="false" ht="15" hidden="false" customHeight="false" outlineLevel="0" collapsed="false">
      <c r="A11" s="11" t="s">
        <v>629</v>
      </c>
      <c r="B11" s="11" t="s">
        <v>630</v>
      </c>
      <c r="C11" s="11" t="s">
        <v>631</v>
      </c>
      <c r="D11" s="11" t="s">
        <v>626</v>
      </c>
      <c r="E11" s="11" t="s">
        <v>632</v>
      </c>
      <c r="F11" s="11" t="s">
        <v>633</v>
      </c>
      <c r="G11" s="13" t="s">
        <v>40</v>
      </c>
    </row>
    <row r="13" customFormat="false" ht="54.75" hidden="false" customHeight="true" outlineLevel="0" collapsed="false">
      <c r="A13" s="8" t="s">
        <v>634</v>
      </c>
      <c r="B13" s="8"/>
      <c r="C13" s="8"/>
      <c r="D13" s="8"/>
      <c r="E13" s="8"/>
      <c r="F13" s="8"/>
      <c r="G13" s="8"/>
    </row>
  </sheetData>
  <mergeCells count="1">
    <mergeCell ref="A13:G13"/>
  </mergeCells>
  <dataValidations count="1">
    <dataValidation allowBlank="true" errorStyle="stop" operator="between" showDropDown="false" showErrorMessage="false" showInputMessage="false" sqref="G2:G11" type="list">
      <formula1>"Not started,In progress,Done,Blocked,Skipped"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  <col collapsed="false" customWidth="true" hidden="false" outlineLevel="0" max="3" min="3" style="0" width="20"/>
    <col collapsed="false" customWidth="true" hidden="false" outlineLevel="0" max="4" min="4" style="0" width="44"/>
  </cols>
  <sheetData>
    <row r="1" customFormat="false" ht="15" hidden="false" customHeight="false" outlineLevel="0" collapsed="false">
      <c r="A1" s="10" t="s">
        <v>445</v>
      </c>
      <c r="B1" s="10" t="s">
        <v>635</v>
      </c>
      <c r="C1" s="10" t="s">
        <v>577</v>
      </c>
      <c r="D1" s="10" t="s">
        <v>636</v>
      </c>
    </row>
    <row r="2" customFormat="false" ht="15" hidden="false" customHeight="false" outlineLevel="0" collapsed="false">
      <c r="A2" s="11" t="s">
        <v>637</v>
      </c>
      <c r="B2" s="11" t="s">
        <v>638</v>
      </c>
      <c r="C2" s="11" t="s">
        <v>639</v>
      </c>
      <c r="D2" s="11" t="s">
        <v>640</v>
      </c>
    </row>
    <row r="3" customFormat="false" ht="35.05" hidden="false" customHeight="false" outlineLevel="0" collapsed="false">
      <c r="A3" s="11" t="s">
        <v>641</v>
      </c>
      <c r="B3" s="11" t="s">
        <v>642</v>
      </c>
      <c r="C3" s="11" t="s">
        <v>643</v>
      </c>
      <c r="D3" s="11" t="s">
        <v>644</v>
      </c>
    </row>
    <row r="4" customFormat="false" ht="15" hidden="false" customHeight="false" outlineLevel="0" collapsed="false">
      <c r="A4" s="11" t="s">
        <v>645</v>
      </c>
      <c r="B4" s="11" t="s">
        <v>646</v>
      </c>
      <c r="C4" s="11" t="s">
        <v>647</v>
      </c>
      <c r="D4" s="11" t="s">
        <v>648</v>
      </c>
    </row>
    <row r="5" customFormat="false" ht="15" hidden="false" customHeight="false" outlineLevel="0" collapsed="false">
      <c r="A5" s="11" t="s">
        <v>649</v>
      </c>
      <c r="B5" s="11" t="s">
        <v>650</v>
      </c>
      <c r="C5" s="11" t="s">
        <v>651</v>
      </c>
      <c r="D5" s="11" t="s">
        <v>652</v>
      </c>
    </row>
    <row r="6" customFormat="false" ht="35.05" hidden="false" customHeight="false" outlineLevel="0" collapsed="false">
      <c r="A6" s="11" t="s">
        <v>653</v>
      </c>
      <c r="B6" s="11" t="s">
        <v>654</v>
      </c>
      <c r="C6" s="11" t="s">
        <v>655</v>
      </c>
      <c r="D6" s="11" t="s">
        <v>656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30"/>
    <col collapsed="false" customWidth="true" hidden="false" outlineLevel="0" max="4" min="4" style="0" width="46"/>
  </cols>
  <sheetData>
    <row r="1" customFormat="false" ht="15" hidden="false" customHeight="false" outlineLevel="0" collapsed="false">
      <c r="A1" s="3" t="s">
        <v>657</v>
      </c>
    </row>
    <row r="2" customFormat="false" ht="15" hidden="false" customHeight="false" outlineLevel="0" collapsed="false">
      <c r="A2" s="10" t="s">
        <v>658</v>
      </c>
      <c r="B2" s="10" t="s">
        <v>659</v>
      </c>
      <c r="C2" s="10" t="s">
        <v>660</v>
      </c>
      <c r="D2" s="10" t="s">
        <v>661</v>
      </c>
    </row>
    <row r="3" customFormat="false" ht="23.85" hidden="false" customHeight="false" outlineLevel="0" collapsed="false">
      <c r="A3" s="11" t="s">
        <v>662</v>
      </c>
      <c r="B3" s="11" t="s">
        <v>663</v>
      </c>
      <c r="C3" s="11" t="s">
        <v>664</v>
      </c>
      <c r="D3" s="11" t="s">
        <v>665</v>
      </c>
    </row>
    <row r="4" customFormat="false" ht="15" hidden="false" customHeight="false" outlineLevel="0" collapsed="false">
      <c r="A4" s="11" t="s">
        <v>662</v>
      </c>
      <c r="B4" s="11" t="s">
        <v>666</v>
      </c>
      <c r="C4" s="11" t="s">
        <v>664</v>
      </c>
      <c r="D4" s="11" t="s">
        <v>667</v>
      </c>
    </row>
    <row r="5" customFormat="false" ht="15" hidden="false" customHeight="false" outlineLevel="0" collapsed="false">
      <c r="A5" s="11" t="s">
        <v>662</v>
      </c>
      <c r="B5" s="11" t="s">
        <v>668</v>
      </c>
      <c r="C5" s="11" t="s">
        <v>669</v>
      </c>
      <c r="D5" s="11" t="s">
        <v>670</v>
      </c>
    </row>
    <row r="6" customFormat="false" ht="23.85" hidden="false" customHeight="false" outlineLevel="0" collapsed="false">
      <c r="A6" s="11" t="s">
        <v>671</v>
      </c>
      <c r="B6" s="11" t="s">
        <v>672</v>
      </c>
      <c r="C6" s="11" t="s">
        <v>673</v>
      </c>
      <c r="D6" s="11" t="s">
        <v>674</v>
      </c>
    </row>
    <row r="7" customFormat="false" ht="15" hidden="false" customHeight="false" outlineLevel="0" collapsed="false">
      <c r="A7" s="11" t="s">
        <v>671</v>
      </c>
      <c r="B7" s="11" t="s">
        <v>675</v>
      </c>
      <c r="C7" s="11" t="s">
        <v>676</v>
      </c>
      <c r="D7" s="11" t="s">
        <v>677</v>
      </c>
    </row>
    <row r="8" customFormat="false" ht="15" hidden="false" customHeight="false" outlineLevel="0" collapsed="false">
      <c r="A8" s="11" t="s">
        <v>678</v>
      </c>
      <c r="B8" s="11" t="s">
        <v>679</v>
      </c>
      <c r="C8" s="11" t="s">
        <v>664</v>
      </c>
      <c r="D8" s="11" t="s">
        <v>680</v>
      </c>
    </row>
    <row r="9" customFormat="false" ht="15" hidden="false" customHeight="false" outlineLevel="0" collapsed="false">
      <c r="A9" s="11" t="s">
        <v>681</v>
      </c>
      <c r="B9" s="11" t="s">
        <v>682</v>
      </c>
      <c r="C9" s="11" t="s">
        <v>683</v>
      </c>
      <c r="D9" s="11" t="s">
        <v>684</v>
      </c>
    </row>
    <row r="10" customFormat="false" ht="15" hidden="false" customHeight="false" outlineLevel="0" collapsed="false">
      <c r="A10" s="11" t="s">
        <v>685</v>
      </c>
      <c r="B10" s="11" t="s">
        <v>686</v>
      </c>
      <c r="C10" s="11" t="s">
        <v>306</v>
      </c>
      <c r="D10" s="11" t="s">
        <v>687</v>
      </c>
    </row>
    <row r="12" customFormat="false" ht="15" hidden="false" customHeight="false" outlineLevel="0" collapsed="false">
      <c r="A12" s="26" t="s">
        <v>688</v>
      </c>
    </row>
    <row r="13" customFormat="false" ht="15" hidden="false" customHeight="false" outlineLevel="0" collapsed="false">
      <c r="A13" s="27" t="s">
        <v>689</v>
      </c>
      <c r="B13" s="28" t="s">
        <v>690</v>
      </c>
    </row>
    <row r="14" customFormat="false" ht="15" hidden="false" customHeight="false" outlineLevel="0" collapsed="false">
      <c r="A14" s="27" t="s">
        <v>691</v>
      </c>
      <c r="B14" s="28" t="s">
        <v>692</v>
      </c>
    </row>
    <row r="15" customFormat="false" ht="15" hidden="false" customHeight="false" outlineLevel="0" collapsed="false">
      <c r="A15" s="27" t="s">
        <v>693</v>
      </c>
      <c r="B15" s="28" t="s">
        <v>694</v>
      </c>
    </row>
    <row r="16" customFormat="false" ht="15" hidden="false" customHeight="false" outlineLevel="0" collapsed="false">
      <c r="A16" s="29" t="s">
        <v>695</v>
      </c>
      <c r="B16" s="29"/>
      <c r="C16" s="29"/>
      <c r="D16" s="29"/>
    </row>
    <row r="18" customFormat="false" ht="15" hidden="false" customHeight="false" outlineLevel="0" collapsed="false">
      <c r="A18" s="3" t="s">
        <v>696</v>
      </c>
    </row>
    <row r="19" customFormat="false" ht="15" hidden="false" customHeight="false" outlineLevel="0" collapsed="false">
      <c r="A19" s="10" t="s">
        <v>697</v>
      </c>
      <c r="B19" s="10" t="s">
        <v>446</v>
      </c>
      <c r="C19" s="10" t="s">
        <v>698</v>
      </c>
      <c r="D19" s="10" t="s">
        <v>699</v>
      </c>
    </row>
    <row r="20" customFormat="false" ht="23.85" hidden="false" customHeight="false" outlineLevel="0" collapsed="false">
      <c r="A20" s="11" t="s">
        <v>700</v>
      </c>
      <c r="B20" s="11" t="s">
        <v>701</v>
      </c>
      <c r="C20" s="11" t="s">
        <v>98</v>
      </c>
      <c r="D20" s="11" t="s">
        <v>702</v>
      </c>
    </row>
    <row r="21" customFormat="false" ht="23.85" hidden="false" customHeight="false" outlineLevel="0" collapsed="false">
      <c r="A21" s="11" t="s">
        <v>703</v>
      </c>
      <c r="B21" s="11" t="s">
        <v>704</v>
      </c>
      <c r="C21" s="11" t="s">
        <v>705</v>
      </c>
      <c r="D21" s="11" t="s">
        <v>706</v>
      </c>
    </row>
    <row r="22" customFormat="false" ht="23.85" hidden="false" customHeight="false" outlineLevel="0" collapsed="false">
      <c r="A22" s="11" t="s">
        <v>707</v>
      </c>
      <c r="B22" s="11" t="s">
        <v>708</v>
      </c>
      <c r="C22" s="11" t="s">
        <v>709</v>
      </c>
      <c r="D22" s="11" t="s">
        <v>710</v>
      </c>
    </row>
    <row r="23" customFormat="false" ht="23.85" hidden="false" customHeight="false" outlineLevel="0" collapsed="false">
      <c r="A23" s="11" t="s">
        <v>711</v>
      </c>
      <c r="B23" s="11" t="s">
        <v>712</v>
      </c>
      <c r="C23" s="11" t="s">
        <v>713</v>
      </c>
      <c r="D23" s="11" t="s">
        <v>714</v>
      </c>
    </row>
    <row r="24" customFormat="false" ht="23.85" hidden="false" customHeight="false" outlineLevel="0" collapsed="false">
      <c r="A24" s="11" t="s">
        <v>715</v>
      </c>
      <c r="B24" s="11" t="s">
        <v>716</v>
      </c>
      <c r="C24" s="11" t="s">
        <v>98</v>
      </c>
      <c r="D24" s="11" t="s">
        <v>717</v>
      </c>
    </row>
    <row r="25" customFormat="false" ht="23.85" hidden="false" customHeight="false" outlineLevel="0" collapsed="false">
      <c r="A25" s="11" t="s">
        <v>718</v>
      </c>
      <c r="B25" s="11" t="s">
        <v>719</v>
      </c>
      <c r="C25" s="11" t="s">
        <v>720</v>
      </c>
      <c r="D25" s="11" t="s">
        <v>721</v>
      </c>
    </row>
    <row r="26" customFormat="false" ht="15" hidden="false" customHeight="false" outlineLevel="0" collapsed="false">
      <c r="A26" s="11" t="s">
        <v>722</v>
      </c>
      <c r="B26" s="11" t="s">
        <v>723</v>
      </c>
      <c r="C26" s="11" t="s">
        <v>724</v>
      </c>
      <c r="D26" s="11" t="s">
        <v>725</v>
      </c>
    </row>
    <row r="27" customFormat="false" ht="15" hidden="false" customHeight="false" outlineLevel="0" collapsed="false">
      <c r="A27" s="11" t="s">
        <v>726</v>
      </c>
      <c r="B27" s="11" t="s">
        <v>727</v>
      </c>
      <c r="C27" s="11" t="s">
        <v>728</v>
      </c>
      <c r="D27" s="11" t="s">
        <v>729</v>
      </c>
    </row>
    <row r="28" customFormat="false" ht="23.85" hidden="false" customHeight="false" outlineLevel="0" collapsed="false">
      <c r="A28" s="11" t="s">
        <v>730</v>
      </c>
      <c r="B28" s="11" t="s">
        <v>731</v>
      </c>
      <c r="C28" s="11" t="s">
        <v>98</v>
      </c>
      <c r="D28" s="11" t="s">
        <v>732</v>
      </c>
    </row>
  </sheetData>
  <mergeCells count="1">
    <mergeCell ref="A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90"/>
    <col collapsed="false" customWidth="true" hidden="false" outlineLevel="0" max="3" min="3" style="0" width="1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0" t="s">
        <v>733</v>
      </c>
      <c r="B1" s="10" t="s">
        <v>734</v>
      </c>
      <c r="C1" s="10" t="s">
        <v>31</v>
      </c>
      <c r="D1" s="10" t="s">
        <v>735</v>
      </c>
    </row>
    <row r="2" customFormat="false" ht="15" hidden="false" customHeight="false" outlineLevel="0" collapsed="false">
      <c r="A2" s="11" t="n">
        <v>1</v>
      </c>
      <c r="B2" s="11" t="s">
        <v>736</v>
      </c>
      <c r="C2" s="13" t="s">
        <v>40</v>
      </c>
      <c r="D2" s="11"/>
    </row>
    <row r="3" customFormat="false" ht="15" hidden="false" customHeight="false" outlineLevel="0" collapsed="false">
      <c r="A3" s="11" t="n">
        <v>2</v>
      </c>
      <c r="B3" s="11" t="s">
        <v>737</v>
      </c>
      <c r="C3" s="13" t="s">
        <v>40</v>
      </c>
      <c r="D3" s="11"/>
    </row>
    <row r="4" customFormat="false" ht="15" hidden="false" customHeight="false" outlineLevel="0" collapsed="false">
      <c r="A4" s="11" t="n">
        <v>3</v>
      </c>
      <c r="B4" s="11" t="s">
        <v>738</v>
      </c>
      <c r="C4" s="13" t="s">
        <v>40</v>
      </c>
      <c r="D4" s="11"/>
    </row>
    <row r="5" customFormat="false" ht="15" hidden="false" customHeight="false" outlineLevel="0" collapsed="false">
      <c r="A5" s="11" t="n">
        <v>4</v>
      </c>
      <c r="B5" s="11" t="s">
        <v>739</v>
      </c>
      <c r="C5" s="13" t="s">
        <v>40</v>
      </c>
      <c r="D5" s="11"/>
    </row>
    <row r="6" customFormat="false" ht="15" hidden="false" customHeight="false" outlineLevel="0" collapsed="false">
      <c r="A6" s="11" t="n">
        <v>5</v>
      </c>
      <c r="B6" s="11" t="s">
        <v>740</v>
      </c>
      <c r="C6" s="13" t="s">
        <v>40</v>
      </c>
      <c r="D6" s="11"/>
    </row>
    <row r="7" customFormat="false" ht="15" hidden="false" customHeight="false" outlineLevel="0" collapsed="false">
      <c r="A7" s="11" t="n">
        <v>6</v>
      </c>
      <c r="B7" s="11" t="s">
        <v>741</v>
      </c>
      <c r="C7" s="13" t="s">
        <v>40</v>
      </c>
      <c r="D7" s="11"/>
    </row>
    <row r="8" customFormat="false" ht="15" hidden="false" customHeight="false" outlineLevel="0" collapsed="false">
      <c r="A8" s="11" t="n">
        <v>7</v>
      </c>
      <c r="B8" s="11" t="s">
        <v>742</v>
      </c>
      <c r="C8" s="13" t="s">
        <v>40</v>
      </c>
      <c r="D8" s="11"/>
    </row>
    <row r="9" customFormat="false" ht="15" hidden="false" customHeight="false" outlineLevel="0" collapsed="false">
      <c r="A9" s="11" t="n">
        <v>8</v>
      </c>
      <c r="B9" s="11" t="s">
        <v>743</v>
      </c>
      <c r="C9" s="13" t="s">
        <v>40</v>
      </c>
      <c r="D9" s="11"/>
    </row>
    <row r="10" customFormat="false" ht="15" hidden="false" customHeight="false" outlineLevel="0" collapsed="false">
      <c r="A10" s="11" t="n">
        <v>9</v>
      </c>
      <c r="B10" s="11" t="s">
        <v>744</v>
      </c>
      <c r="C10" s="13" t="s">
        <v>40</v>
      </c>
      <c r="D10" s="11"/>
    </row>
    <row r="11" customFormat="false" ht="15" hidden="false" customHeight="false" outlineLevel="0" collapsed="false">
      <c r="A11" s="11" t="n">
        <v>10</v>
      </c>
      <c r="B11" s="11" t="s">
        <v>745</v>
      </c>
      <c r="C11" s="13" t="s">
        <v>40</v>
      </c>
      <c r="D11" s="11"/>
    </row>
    <row r="12" customFormat="false" ht="15" hidden="false" customHeight="false" outlineLevel="0" collapsed="false">
      <c r="A12" s="11" t="n">
        <v>11</v>
      </c>
      <c r="B12" s="11" t="s">
        <v>746</v>
      </c>
      <c r="C12" s="13" t="s">
        <v>40</v>
      </c>
      <c r="D12" s="11"/>
    </row>
    <row r="13" customFormat="false" ht="15" hidden="false" customHeight="false" outlineLevel="0" collapsed="false">
      <c r="A13" s="11" t="n">
        <v>12</v>
      </c>
      <c r="B13" s="11" t="s">
        <v>563</v>
      </c>
      <c r="C13" s="13" t="s">
        <v>40</v>
      </c>
      <c r="D13" s="11"/>
    </row>
    <row r="14" customFormat="false" ht="15" hidden="false" customHeight="false" outlineLevel="0" collapsed="false">
      <c r="A14" s="11" t="n">
        <v>13</v>
      </c>
      <c r="B14" s="11" t="s">
        <v>747</v>
      </c>
      <c r="C14" s="13" t="s">
        <v>40</v>
      </c>
      <c r="D14" s="11"/>
    </row>
    <row r="15" customFormat="false" ht="15" hidden="false" customHeight="false" outlineLevel="0" collapsed="false">
      <c r="A15" s="11" t="n">
        <v>14</v>
      </c>
      <c r="B15" s="11" t="s">
        <v>748</v>
      </c>
      <c r="C15" s="13" t="s">
        <v>40</v>
      </c>
      <c r="D15" s="11"/>
    </row>
    <row r="16" customFormat="false" ht="15" hidden="false" customHeight="false" outlineLevel="0" collapsed="false">
      <c r="A16" s="11" t="n">
        <v>15</v>
      </c>
      <c r="B16" s="11" t="s">
        <v>749</v>
      </c>
      <c r="C16" s="13" t="s">
        <v>40</v>
      </c>
      <c r="D16" s="11"/>
    </row>
    <row r="18" customFormat="false" ht="45" hidden="false" customHeight="true" outlineLevel="0" collapsed="false">
      <c r="B18" s="2" t="s">
        <v>750</v>
      </c>
    </row>
  </sheetData>
  <dataValidations count="1">
    <dataValidation allowBlank="true" errorStyle="stop" operator="between" showDropDown="false" showErrorMessage="false" showInputMessage="false" sqref="C2:C16" type="list">
      <formula1>"Not started,In progress,Done,Blocked,Skipped"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80"/>
    <col collapsed="false" customWidth="true" hidden="false" outlineLevel="0" max="3" min="3" style="0" width="22"/>
    <col collapsed="false" customWidth="true" hidden="false" outlineLevel="0" max="4" min="4" style="0" width="13"/>
  </cols>
  <sheetData>
    <row r="1" customFormat="false" ht="15" hidden="false" customHeight="false" outlineLevel="0" collapsed="false">
      <c r="A1" s="10" t="s">
        <v>751</v>
      </c>
      <c r="B1" s="10" t="s">
        <v>752</v>
      </c>
      <c r="C1" s="10" t="s">
        <v>753</v>
      </c>
      <c r="D1" s="10" t="s">
        <v>31</v>
      </c>
    </row>
    <row r="2" customFormat="false" ht="15" hidden="false" customHeight="false" outlineLevel="0" collapsed="false">
      <c r="A2" s="11" t="s">
        <v>713</v>
      </c>
      <c r="B2" s="11" t="s">
        <v>754</v>
      </c>
      <c r="C2" s="11" t="s">
        <v>755</v>
      </c>
      <c r="D2" s="13" t="s">
        <v>40</v>
      </c>
    </row>
    <row r="3" customFormat="false" ht="15" hidden="false" customHeight="false" outlineLevel="0" collapsed="false">
      <c r="A3" s="11" t="s">
        <v>756</v>
      </c>
      <c r="B3" s="11" t="s">
        <v>757</v>
      </c>
      <c r="C3" s="11" t="s">
        <v>755</v>
      </c>
      <c r="D3" s="13" t="s">
        <v>40</v>
      </c>
    </row>
    <row r="4" customFormat="false" ht="15" hidden="false" customHeight="false" outlineLevel="0" collapsed="false">
      <c r="A4" s="11" t="s">
        <v>758</v>
      </c>
      <c r="B4" s="11" t="s">
        <v>759</v>
      </c>
      <c r="C4" s="11" t="s">
        <v>755</v>
      </c>
      <c r="D4" s="13" t="s">
        <v>40</v>
      </c>
    </row>
    <row r="5" customFormat="false" ht="15" hidden="false" customHeight="false" outlineLevel="0" collapsed="false">
      <c r="A5" s="11" t="s">
        <v>760</v>
      </c>
      <c r="B5" s="11" t="s">
        <v>761</v>
      </c>
      <c r="C5" s="11" t="s">
        <v>755</v>
      </c>
      <c r="D5" s="13" t="s">
        <v>40</v>
      </c>
    </row>
    <row r="6" customFormat="false" ht="15" hidden="false" customHeight="false" outlineLevel="0" collapsed="false">
      <c r="A6" s="11" t="s">
        <v>762</v>
      </c>
      <c r="B6" s="11" t="s">
        <v>763</v>
      </c>
      <c r="C6" s="11" t="s">
        <v>755</v>
      </c>
      <c r="D6" s="13" t="s">
        <v>40</v>
      </c>
    </row>
    <row r="7" customFormat="false" ht="15" hidden="false" customHeight="false" outlineLevel="0" collapsed="false">
      <c r="A7" s="11" t="s">
        <v>764</v>
      </c>
      <c r="B7" s="11" t="s">
        <v>765</v>
      </c>
      <c r="C7" s="11" t="s">
        <v>766</v>
      </c>
      <c r="D7" s="13" t="s">
        <v>40</v>
      </c>
    </row>
    <row r="8" customFormat="false" ht="15" hidden="false" customHeight="false" outlineLevel="0" collapsed="false">
      <c r="A8" s="11" t="s">
        <v>767</v>
      </c>
      <c r="B8" s="11" t="s">
        <v>768</v>
      </c>
      <c r="C8" s="11" t="s">
        <v>769</v>
      </c>
      <c r="D8" s="13" t="s">
        <v>40</v>
      </c>
    </row>
    <row r="9" customFormat="false" ht="15" hidden="false" customHeight="false" outlineLevel="0" collapsed="false">
      <c r="A9" s="11" t="s">
        <v>770</v>
      </c>
      <c r="B9" s="11" t="s">
        <v>771</v>
      </c>
      <c r="C9" s="11" t="s">
        <v>772</v>
      </c>
      <c r="D9" s="13" t="s">
        <v>40</v>
      </c>
    </row>
    <row r="10" customFormat="false" ht="15" hidden="false" customHeight="false" outlineLevel="0" collapsed="false">
      <c r="A10" s="11" t="s">
        <v>773</v>
      </c>
      <c r="B10" s="11" t="s">
        <v>774</v>
      </c>
      <c r="C10" s="11" t="s">
        <v>775</v>
      </c>
      <c r="D10" s="13" t="s">
        <v>40</v>
      </c>
    </row>
    <row r="11" customFormat="false" ht="15" hidden="false" customHeight="false" outlineLevel="0" collapsed="false">
      <c r="A11" s="11" t="s">
        <v>776</v>
      </c>
      <c r="B11" s="11" t="s">
        <v>777</v>
      </c>
      <c r="C11" s="11" t="s">
        <v>778</v>
      </c>
      <c r="D11" s="13" t="s">
        <v>40</v>
      </c>
    </row>
    <row r="12" customFormat="false" ht="15" hidden="false" customHeight="false" outlineLevel="0" collapsed="false">
      <c r="A12" s="11" t="s">
        <v>779</v>
      </c>
      <c r="B12" s="11" t="s">
        <v>780</v>
      </c>
      <c r="C12" s="11" t="s">
        <v>781</v>
      </c>
      <c r="D12" s="13" t="s">
        <v>40</v>
      </c>
    </row>
    <row r="13" customFormat="false" ht="15" hidden="false" customHeight="false" outlineLevel="0" collapsed="false">
      <c r="A13" s="11" t="s">
        <v>477</v>
      </c>
      <c r="B13" s="11" t="s">
        <v>782</v>
      </c>
      <c r="C13" s="11" t="s">
        <v>477</v>
      </c>
      <c r="D13" s="13" t="s">
        <v>40</v>
      </c>
    </row>
    <row r="14" customFormat="false" ht="15" hidden="false" customHeight="false" outlineLevel="0" collapsed="false">
      <c r="A14" s="11" t="s">
        <v>783</v>
      </c>
      <c r="B14" s="11" t="s">
        <v>784</v>
      </c>
      <c r="C14" s="11" t="s">
        <v>785</v>
      </c>
      <c r="D14" s="13" t="s">
        <v>40</v>
      </c>
    </row>
    <row r="15" customFormat="false" ht="15" hidden="false" customHeight="false" outlineLevel="0" collapsed="false">
      <c r="A15" s="11" t="s">
        <v>786</v>
      </c>
      <c r="B15" s="11" t="s">
        <v>787</v>
      </c>
      <c r="C15" s="11" t="s">
        <v>785</v>
      </c>
      <c r="D15" s="13" t="s">
        <v>40</v>
      </c>
    </row>
    <row r="16" customFormat="false" ht="23.85" hidden="false" customHeight="false" outlineLevel="0" collapsed="false">
      <c r="A16" s="11" t="s">
        <v>788</v>
      </c>
      <c r="B16" s="11" t="s">
        <v>789</v>
      </c>
      <c r="C16" s="11" t="s">
        <v>790</v>
      </c>
      <c r="D16" s="13" t="s">
        <v>40</v>
      </c>
    </row>
    <row r="17" customFormat="false" ht="15" hidden="false" customHeight="false" outlineLevel="0" collapsed="false">
      <c r="A17" s="11" t="s">
        <v>791</v>
      </c>
      <c r="B17" s="11" t="s">
        <v>792</v>
      </c>
      <c r="C17" s="11" t="s">
        <v>685</v>
      </c>
      <c r="D17" s="13" t="s">
        <v>40</v>
      </c>
    </row>
    <row r="18" customFormat="false" ht="15" hidden="false" customHeight="false" outlineLevel="0" collapsed="false">
      <c r="A18" s="11" t="s">
        <v>793</v>
      </c>
      <c r="B18" s="11" t="s">
        <v>794</v>
      </c>
      <c r="C18" s="11" t="s">
        <v>306</v>
      </c>
      <c r="D18" s="13" t="s">
        <v>40</v>
      </c>
    </row>
    <row r="20" customFormat="false" ht="30" hidden="false" customHeight="true" outlineLevel="0" collapsed="false">
      <c r="A20" s="30" t="s">
        <v>795</v>
      </c>
      <c r="B20" s="30"/>
      <c r="C20" s="30"/>
      <c r="D20" s="30"/>
    </row>
  </sheetData>
  <mergeCells count="1">
    <mergeCell ref="A20:D20"/>
  </mergeCells>
  <dataValidations count="1">
    <dataValidation allowBlank="true" errorStyle="stop" operator="between" showDropDown="false" showErrorMessage="false" showInputMessage="false" sqref="D2:D18" type="list">
      <formula1>"Not started,In progress,Done,Blocked,Skipped"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2"/>
    <col collapsed="false" customWidth="true" hidden="false" outlineLevel="0" max="3" min="3" style="0" width="60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3" t="s">
        <v>796</v>
      </c>
    </row>
    <row r="2" customFormat="false" ht="30" hidden="false" customHeight="true" outlineLevel="0" collapsed="false">
      <c r="A2" s="8" t="s">
        <v>797</v>
      </c>
      <c r="B2" s="8"/>
      <c r="C2" s="8"/>
      <c r="D2" s="8"/>
    </row>
    <row r="4" customFormat="false" ht="15" hidden="false" customHeight="false" outlineLevel="0" collapsed="false">
      <c r="A4" s="10" t="s">
        <v>798</v>
      </c>
      <c r="B4" s="10" t="s">
        <v>799</v>
      </c>
      <c r="C4" s="10" t="s">
        <v>800</v>
      </c>
      <c r="D4" s="10" t="s">
        <v>801</v>
      </c>
    </row>
    <row r="5" customFormat="false" ht="15" hidden="false" customHeight="false" outlineLevel="0" collapsed="false">
      <c r="A5" s="11" t="s">
        <v>802</v>
      </c>
      <c r="B5" s="31" t="n">
        <v>0.25</v>
      </c>
      <c r="C5" s="11" t="s">
        <v>803</v>
      </c>
      <c r="D5" s="11" t="s">
        <v>804</v>
      </c>
    </row>
    <row r="6" customFormat="false" ht="15" hidden="false" customHeight="false" outlineLevel="0" collapsed="false">
      <c r="A6" s="11" t="s">
        <v>805</v>
      </c>
      <c r="B6" s="31" t="n">
        <v>0.25</v>
      </c>
      <c r="C6" s="11" t="s">
        <v>806</v>
      </c>
      <c r="D6" s="11" t="s">
        <v>807</v>
      </c>
    </row>
    <row r="7" customFormat="false" ht="15" hidden="false" customHeight="false" outlineLevel="0" collapsed="false">
      <c r="A7" s="11" t="s">
        <v>808</v>
      </c>
      <c r="B7" s="31" t="n">
        <v>0.2</v>
      </c>
      <c r="C7" s="11" t="s">
        <v>809</v>
      </c>
      <c r="D7" s="11" t="s">
        <v>810</v>
      </c>
    </row>
    <row r="8" customFormat="false" ht="15" hidden="false" customHeight="false" outlineLevel="0" collapsed="false">
      <c r="A8" s="11" t="s">
        <v>811</v>
      </c>
      <c r="B8" s="31" t="n">
        <v>0.15</v>
      </c>
      <c r="C8" s="11" t="s">
        <v>812</v>
      </c>
      <c r="D8" s="11" t="s">
        <v>813</v>
      </c>
    </row>
    <row r="9" customFormat="false" ht="15" hidden="false" customHeight="false" outlineLevel="0" collapsed="false">
      <c r="A9" s="11" t="s">
        <v>814</v>
      </c>
      <c r="B9" s="31" t="n">
        <v>0.15</v>
      </c>
      <c r="C9" s="11" t="s">
        <v>815</v>
      </c>
      <c r="D9" s="11" t="s">
        <v>816</v>
      </c>
    </row>
    <row r="10" customFormat="false" ht="15" hidden="false" customHeight="false" outlineLevel="0" collapsed="false">
      <c r="A10" s="26" t="s">
        <v>817</v>
      </c>
      <c r="B10" s="32" t="n">
        <f aca="false">SUM(B5:B9)</f>
        <v>1</v>
      </c>
    </row>
    <row r="12" customFormat="false" ht="15" hidden="false" customHeight="false" outlineLevel="0" collapsed="false">
      <c r="A12" s="26" t="s">
        <v>818</v>
      </c>
    </row>
    <row r="13" customFormat="false" ht="15" hidden="false" customHeight="false" outlineLevel="0" collapsed="false">
      <c r="A13" s="10" t="s">
        <v>819</v>
      </c>
      <c r="B13" s="10" t="s">
        <v>820</v>
      </c>
      <c r="C13" s="10" t="s">
        <v>821</v>
      </c>
    </row>
    <row r="14" customFormat="false" ht="23.85" hidden="false" customHeight="false" outlineLevel="0" collapsed="false">
      <c r="A14" s="13" t="n">
        <v>0</v>
      </c>
      <c r="B14" s="31" t="n">
        <v>0.04</v>
      </c>
      <c r="C14" s="11" t="s">
        <v>822</v>
      </c>
    </row>
    <row r="15" customFormat="false" ht="15" hidden="false" customHeight="false" outlineLevel="0" collapsed="false">
      <c r="A15" s="13" t="n">
        <v>50</v>
      </c>
      <c r="B15" s="31" t="n">
        <v>0.09</v>
      </c>
      <c r="C15" s="11" t="s">
        <v>823</v>
      </c>
    </row>
    <row r="16" customFormat="false" ht="15" hidden="false" customHeight="false" outlineLevel="0" collapsed="false">
      <c r="A16" s="13" t="n">
        <v>65</v>
      </c>
      <c r="B16" s="31" t="n">
        <v>0.15</v>
      </c>
      <c r="C16" s="11" t="s">
        <v>824</v>
      </c>
    </row>
    <row r="17" customFormat="false" ht="15" hidden="false" customHeight="false" outlineLevel="0" collapsed="false">
      <c r="A17" s="13" t="n">
        <v>80</v>
      </c>
      <c r="B17" s="31" t="n">
        <v>0.25</v>
      </c>
      <c r="C17" s="11" t="s">
        <v>825</v>
      </c>
    </row>
    <row r="19" customFormat="false" ht="15" hidden="false" customHeight="false" outlineLevel="0" collapsed="false">
      <c r="A19" s="26" t="s">
        <v>826</v>
      </c>
    </row>
    <row r="20" customFormat="false" ht="15" hidden="false" customHeight="false" outlineLevel="0" collapsed="false">
      <c r="A20" s="10" t="s">
        <v>827</v>
      </c>
      <c r="B20" s="10" t="s">
        <v>828</v>
      </c>
      <c r="C20" s="10" t="s">
        <v>829</v>
      </c>
    </row>
    <row r="21" customFormat="false" ht="23.85" hidden="false" customHeight="false" outlineLevel="0" collapsed="false">
      <c r="A21" s="11" t="s">
        <v>830</v>
      </c>
      <c r="B21" s="33" t="n">
        <v>2</v>
      </c>
      <c r="C21" s="11" t="s">
        <v>831</v>
      </c>
    </row>
    <row r="22" customFormat="false" ht="15" hidden="false" customHeight="false" outlineLevel="0" collapsed="false">
      <c r="A22" s="11" t="s">
        <v>832</v>
      </c>
      <c r="B22" s="33" t="n">
        <v>1.5</v>
      </c>
      <c r="C22" s="11" t="s">
        <v>833</v>
      </c>
    </row>
    <row r="23" customFormat="false" ht="15" hidden="false" customHeight="false" outlineLevel="0" collapsed="false">
      <c r="A23" s="11" t="s">
        <v>834</v>
      </c>
      <c r="B23" s="33" t="n">
        <v>3</v>
      </c>
      <c r="C23" s="11" t="s">
        <v>835</v>
      </c>
    </row>
    <row r="24" customFormat="false" ht="15" hidden="false" customHeight="false" outlineLevel="0" collapsed="false">
      <c r="A24" s="11" t="s">
        <v>836</v>
      </c>
      <c r="B24" s="33" t="n">
        <v>0.6</v>
      </c>
      <c r="C24" s="11" t="s">
        <v>837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26"/>
    <col collapsed="false" customWidth="true" hidden="false" outlineLevel="0" max="8" min="8" style="0" width="18"/>
    <col collapsed="false" customWidth="true" hidden="false" outlineLevel="0" max="9" min="9" style="0" width="28"/>
    <col collapsed="false" customWidth="true" hidden="false" outlineLevel="0" max="10" min="10" style="0" width="32"/>
    <col collapsed="false" customWidth="true" hidden="false" outlineLevel="0" max="11" min="11" style="0" width="22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32"/>
    <col collapsed="false" customWidth="true" hidden="false" outlineLevel="0" max="15" min="15" style="0" width="44"/>
    <col collapsed="false" customWidth="true" hidden="false" outlineLevel="0" max="17" min="16" style="0" width="40"/>
    <col collapsed="false" customWidth="true" hidden="false" outlineLevel="0" max="18" min="18" style="0" width="6"/>
    <col collapsed="false" customWidth="true" hidden="false" outlineLevel="0" max="20" min="19" style="0" width="7"/>
    <col collapsed="false" customWidth="true" hidden="false" outlineLevel="0" max="24" min="21" style="0" width="8"/>
    <col collapsed="false" customWidth="true" hidden="false" outlineLevel="0" max="25" min="25" style="0" width="9"/>
    <col collapsed="false" customWidth="true" hidden="false" outlineLevel="0" max="26" min="26" style="0" width="12"/>
    <col collapsed="false" customWidth="true" hidden="false" outlineLevel="0" max="27" min="27" style="0" width="14"/>
    <col collapsed="false" customWidth="true" hidden="false" outlineLevel="0" max="28" min="28" style="0" width="10"/>
    <col collapsed="false" customWidth="true" hidden="false" outlineLevel="0" max="29" min="29" style="0" width="50"/>
    <col collapsed="false" customWidth="true" hidden="false" outlineLevel="0" max="30" min="30" style="0" width="32"/>
  </cols>
  <sheetData>
    <row r="1" customFormat="false" ht="46.25" hidden="false" customHeight="false" outlineLevel="0" collapsed="false">
      <c r="A1" s="10" t="s">
        <v>733</v>
      </c>
      <c r="B1" s="10" t="s">
        <v>838</v>
      </c>
      <c r="C1" s="10" t="s">
        <v>839</v>
      </c>
      <c r="D1" s="10" t="s">
        <v>840</v>
      </c>
      <c r="E1" s="10" t="s">
        <v>841</v>
      </c>
      <c r="F1" s="10" t="s">
        <v>842</v>
      </c>
      <c r="G1" s="10" t="s">
        <v>843</v>
      </c>
      <c r="H1" s="10" t="s">
        <v>258</v>
      </c>
      <c r="I1" s="10" t="s">
        <v>844</v>
      </c>
      <c r="J1" s="10" t="s">
        <v>845</v>
      </c>
      <c r="K1" s="10" t="s">
        <v>473</v>
      </c>
      <c r="L1" s="10" t="s">
        <v>846</v>
      </c>
      <c r="M1" s="10" t="s">
        <v>847</v>
      </c>
      <c r="N1" s="10" t="s">
        <v>848</v>
      </c>
      <c r="O1" s="10" t="s">
        <v>849</v>
      </c>
      <c r="P1" s="10" t="s">
        <v>850</v>
      </c>
      <c r="Q1" s="10" t="s">
        <v>851</v>
      </c>
      <c r="R1" s="10" t="s">
        <v>253</v>
      </c>
      <c r="S1" s="10" t="s">
        <v>852</v>
      </c>
      <c r="T1" s="10" t="s">
        <v>853</v>
      </c>
      <c r="U1" s="10" t="s">
        <v>854</v>
      </c>
      <c r="V1" s="10" t="s">
        <v>855</v>
      </c>
      <c r="W1" s="10" t="s">
        <v>856</v>
      </c>
      <c r="X1" s="10" t="s">
        <v>857</v>
      </c>
      <c r="Y1" s="10" t="s">
        <v>820</v>
      </c>
      <c r="Z1" s="10" t="s">
        <v>858</v>
      </c>
      <c r="AA1" s="10" t="s">
        <v>859</v>
      </c>
      <c r="AB1" s="10" t="s">
        <v>860</v>
      </c>
      <c r="AC1" s="10" t="s">
        <v>861</v>
      </c>
      <c r="AD1" s="10" t="s">
        <v>862</v>
      </c>
    </row>
    <row r="2" customFormat="false" ht="46.25" hidden="false" customHeight="false" outlineLevel="0" collapsed="false">
      <c r="A2" s="11" t="n">
        <v>1</v>
      </c>
      <c r="B2" s="19" t="s">
        <v>287</v>
      </c>
      <c r="C2" s="11" t="s">
        <v>863</v>
      </c>
      <c r="D2" s="11" t="s">
        <v>864</v>
      </c>
      <c r="E2" s="11" t="s">
        <v>865</v>
      </c>
      <c r="F2" s="13" t="n">
        <v>0</v>
      </c>
      <c r="G2" s="11" t="s">
        <v>290</v>
      </c>
      <c r="H2" s="11" t="s">
        <v>291</v>
      </c>
      <c r="I2" s="20" t="s">
        <v>866</v>
      </c>
      <c r="J2" s="11" t="s">
        <v>867</v>
      </c>
      <c r="K2" s="11" t="s">
        <v>868</v>
      </c>
      <c r="L2" s="11" t="s">
        <v>869</v>
      </c>
      <c r="M2" s="20" t="s">
        <v>866</v>
      </c>
      <c r="N2" s="11" t="s">
        <v>870</v>
      </c>
      <c r="O2" s="11" t="s">
        <v>871</v>
      </c>
      <c r="P2" s="11" t="s">
        <v>872</v>
      </c>
      <c r="Q2" s="11" t="s">
        <v>873</v>
      </c>
      <c r="R2" s="21" t="n">
        <v>1</v>
      </c>
      <c r="S2" s="13" t="n">
        <v>5</v>
      </c>
      <c r="T2" s="13" t="n">
        <v>3</v>
      </c>
      <c r="U2" s="13" t="n">
        <v>3</v>
      </c>
      <c r="V2" s="13" t="n">
        <v>4</v>
      </c>
      <c r="W2" s="13" t="n">
        <v>5</v>
      </c>
      <c r="X2" s="11" t="n">
        <f aca="false">ROUND((S2*'Scoring Model'!$B$5+T2*'Scoring Model'!$B$6+U2*'Scoring Model'!$B$7+V2*'Scoring Model'!$B$8+W2*'Scoring Model'!$B$9)/5*100,0)</f>
        <v>79</v>
      </c>
      <c r="Y2" s="34" t="n">
        <f aca="false">INDEX('Scoring Model'!$B$14:$B$17,MATCH(X2,'Scoring Model'!$A$14:$A$17,1))</f>
        <v>0.15</v>
      </c>
      <c r="Z2" s="35" t="n">
        <f aca="false">MOD(TIME(9,5,0)-F2/24,1)</f>
        <v>0.378472222222222</v>
      </c>
      <c r="AA2" s="11" t="str">
        <f aca="false">IF(TIME(9,5,0)-F2/24&lt;0,"previous day (ET)","same day")</f>
        <v>same day</v>
      </c>
      <c r="AB2" s="20"/>
      <c r="AC2" s="11" t="s">
        <v>874</v>
      </c>
      <c r="AD2" s="11" t="s">
        <v>875</v>
      </c>
    </row>
    <row r="3" customFormat="false" ht="35.05" hidden="false" customHeight="false" outlineLevel="0" collapsed="false">
      <c r="A3" s="11" t="n">
        <v>2</v>
      </c>
      <c r="B3" s="19" t="s">
        <v>302</v>
      </c>
      <c r="C3" s="11" t="s">
        <v>876</v>
      </c>
      <c r="D3" s="11" t="s">
        <v>877</v>
      </c>
      <c r="E3" s="11" t="s">
        <v>865</v>
      </c>
      <c r="F3" s="13" t="n">
        <v>0</v>
      </c>
      <c r="G3" s="20" t="s">
        <v>866</v>
      </c>
      <c r="H3" s="11" t="s">
        <v>878</v>
      </c>
      <c r="I3" s="11" t="s">
        <v>879</v>
      </c>
      <c r="J3" s="11" t="s">
        <v>880</v>
      </c>
      <c r="K3" s="20" t="s">
        <v>866</v>
      </c>
      <c r="L3" s="11" t="s">
        <v>881</v>
      </c>
      <c r="M3" s="20" t="s">
        <v>866</v>
      </c>
      <c r="N3" s="11" t="s">
        <v>882</v>
      </c>
      <c r="O3" s="11" t="s">
        <v>883</v>
      </c>
      <c r="P3" s="11" t="s">
        <v>884</v>
      </c>
      <c r="Q3" s="11" t="s">
        <v>885</v>
      </c>
      <c r="R3" s="21" t="n">
        <v>1</v>
      </c>
      <c r="S3" s="13" t="n">
        <v>3</v>
      </c>
      <c r="T3" s="13" t="n">
        <v>5</v>
      </c>
      <c r="U3" s="13" t="n">
        <v>4</v>
      </c>
      <c r="V3" s="13" t="n">
        <v>4</v>
      </c>
      <c r="W3" s="13" t="n">
        <v>5</v>
      </c>
      <c r="X3" s="11" t="n">
        <f aca="false">ROUND((S3*'Scoring Model'!$B$5+T3*'Scoring Model'!$B$6+U3*'Scoring Model'!$B$7+V3*'Scoring Model'!$B$8+W3*'Scoring Model'!$B$9)/5*100,0)</f>
        <v>83</v>
      </c>
      <c r="Y3" s="34" t="n">
        <f aca="false">INDEX('Scoring Model'!$B$14:$B$17,MATCH(X3,'Scoring Model'!$A$14:$A$17,1))</f>
        <v>0.25</v>
      </c>
      <c r="Z3" s="35" t="n">
        <f aca="false">MOD(TIME(9,5,0)-F3/24,1)</f>
        <v>0.378472222222222</v>
      </c>
      <c r="AA3" s="11" t="str">
        <f aca="false">IF(TIME(9,5,0)-F3/24&lt;0,"previous day (ET)","same day")</f>
        <v>same day</v>
      </c>
      <c r="AB3" s="20"/>
      <c r="AC3" s="11" t="s">
        <v>886</v>
      </c>
      <c r="AD3" s="11" t="s">
        <v>875</v>
      </c>
    </row>
    <row r="4" customFormat="false" ht="23.85" hidden="false" customHeight="false" outlineLevel="0" collapsed="false">
      <c r="A4" s="11" t="n">
        <v>3</v>
      </c>
      <c r="B4" s="19" t="s">
        <v>407</v>
      </c>
      <c r="C4" s="11" t="s">
        <v>887</v>
      </c>
      <c r="D4" s="11" t="s">
        <v>888</v>
      </c>
      <c r="E4" s="11" t="s">
        <v>889</v>
      </c>
      <c r="F4" s="13" t="n">
        <v>-3</v>
      </c>
      <c r="G4" s="11" t="s">
        <v>410</v>
      </c>
      <c r="H4" s="11" t="s">
        <v>890</v>
      </c>
      <c r="I4" s="20" t="s">
        <v>866</v>
      </c>
      <c r="J4" s="20" t="s">
        <v>891</v>
      </c>
      <c r="K4" s="20" t="s">
        <v>892</v>
      </c>
      <c r="L4" s="11" t="s">
        <v>893</v>
      </c>
      <c r="M4" s="20" t="s">
        <v>866</v>
      </c>
      <c r="N4" s="20" t="s">
        <v>866</v>
      </c>
      <c r="O4" s="11" t="s">
        <v>894</v>
      </c>
      <c r="P4" s="11" t="s">
        <v>895</v>
      </c>
      <c r="Q4" s="11" t="s">
        <v>896</v>
      </c>
      <c r="R4" s="21" t="n">
        <v>1</v>
      </c>
      <c r="S4" s="13" t="n">
        <v>3</v>
      </c>
      <c r="T4" s="13" t="n">
        <v>4</v>
      </c>
      <c r="U4" s="13" t="n">
        <v>4</v>
      </c>
      <c r="V4" s="13" t="n">
        <v>4</v>
      </c>
      <c r="W4" s="13" t="n">
        <v>5</v>
      </c>
      <c r="X4" s="11" t="n">
        <f aca="false">ROUND((S4*'Scoring Model'!$B$5+T4*'Scoring Model'!$B$6+U4*'Scoring Model'!$B$7+V4*'Scoring Model'!$B$8+W4*'Scoring Model'!$B$9)/5*100,0)</f>
        <v>78</v>
      </c>
      <c r="Y4" s="34" t="n">
        <f aca="false">INDEX('Scoring Model'!$B$14:$B$17,MATCH(X4,'Scoring Model'!$A$14:$A$17,1))</f>
        <v>0.15</v>
      </c>
      <c r="Z4" s="35" t="n">
        <f aca="false">MOD(TIME(9,5,0)-F4/24,1)</f>
        <v>0.503472222222222</v>
      </c>
      <c r="AA4" s="11" t="str">
        <f aca="false">IF(TIME(9,5,0)-F4/24&lt;0,"previous day (ET)","same day")</f>
        <v>same day</v>
      </c>
      <c r="AB4" s="20"/>
      <c r="AC4" s="11" t="s">
        <v>897</v>
      </c>
      <c r="AD4" s="11" t="s">
        <v>875</v>
      </c>
    </row>
    <row r="5" customFormat="false" ht="35.05" hidden="false" customHeight="false" outlineLevel="0" collapsed="false">
      <c r="A5" s="11" t="n">
        <v>4</v>
      </c>
      <c r="B5" s="19" t="s">
        <v>429</v>
      </c>
      <c r="C5" s="11" t="s">
        <v>898</v>
      </c>
      <c r="D5" s="11" t="s">
        <v>899</v>
      </c>
      <c r="E5" s="11" t="s">
        <v>900</v>
      </c>
      <c r="F5" s="13" t="n">
        <v>6</v>
      </c>
      <c r="G5" s="20" t="s">
        <v>901</v>
      </c>
      <c r="H5" s="11" t="s">
        <v>902</v>
      </c>
      <c r="I5" s="20" t="s">
        <v>903</v>
      </c>
      <c r="J5" s="11" t="s">
        <v>904</v>
      </c>
      <c r="K5" s="11" t="s">
        <v>905</v>
      </c>
      <c r="L5" s="11" t="s">
        <v>906</v>
      </c>
      <c r="M5" s="20" t="s">
        <v>903</v>
      </c>
      <c r="N5" s="20" t="s">
        <v>903</v>
      </c>
      <c r="O5" s="11" t="s">
        <v>907</v>
      </c>
      <c r="P5" s="11" t="s">
        <v>908</v>
      </c>
      <c r="Q5" s="11" t="s">
        <v>909</v>
      </c>
      <c r="R5" s="21" t="n">
        <v>1</v>
      </c>
      <c r="S5" s="13" t="n">
        <v>5</v>
      </c>
      <c r="T5" s="13" t="n">
        <v>4</v>
      </c>
      <c r="U5" s="13" t="n">
        <v>4</v>
      </c>
      <c r="V5" s="13" t="n">
        <v>4</v>
      </c>
      <c r="W5" s="13" t="n">
        <v>2</v>
      </c>
      <c r="X5" s="11" t="n">
        <f aca="false">ROUND((S5*'Scoring Model'!$B$5+T5*'Scoring Model'!$B$6+U5*'Scoring Model'!$B$7+V5*'Scoring Model'!$B$8+W5*'Scoring Model'!$B$9)/5*100,0)</f>
        <v>79</v>
      </c>
      <c r="Y5" s="34" t="n">
        <f aca="false">INDEX('Scoring Model'!$B$14:$B$17,MATCH(X5,'Scoring Model'!$A$14:$A$17,1))</f>
        <v>0.15</v>
      </c>
      <c r="Z5" s="35" t="n">
        <f aca="false">MOD(TIME(9,5,0)-F5/24,1)</f>
        <v>0.128472222222222</v>
      </c>
      <c r="AA5" s="11" t="str">
        <f aca="false">IF(TIME(9,5,0)-F5/24&lt;0,"previous day (ET)","same day")</f>
        <v>same day</v>
      </c>
      <c r="AB5" s="20"/>
      <c r="AC5" s="11" t="s">
        <v>910</v>
      </c>
      <c r="AD5" s="11" t="s">
        <v>875</v>
      </c>
    </row>
    <row r="6" customFormat="false" ht="46.25" hidden="false" customHeight="false" outlineLevel="0" collapsed="false">
      <c r="A6" s="11" t="n">
        <v>5</v>
      </c>
      <c r="B6" s="19" t="s">
        <v>911</v>
      </c>
      <c r="C6" s="11" t="s">
        <v>912</v>
      </c>
      <c r="D6" s="11" t="s">
        <v>864</v>
      </c>
      <c r="E6" s="11" t="s">
        <v>913</v>
      </c>
      <c r="F6" s="13" t="n">
        <v>0</v>
      </c>
      <c r="G6" s="20" t="s">
        <v>866</v>
      </c>
      <c r="H6" s="11" t="s">
        <v>878</v>
      </c>
      <c r="I6" s="20" t="s">
        <v>866</v>
      </c>
      <c r="J6" s="11" t="s">
        <v>914</v>
      </c>
      <c r="K6" s="20" t="s">
        <v>892</v>
      </c>
      <c r="L6" s="11" t="s">
        <v>878</v>
      </c>
      <c r="M6" s="20" t="s">
        <v>866</v>
      </c>
      <c r="N6" s="20" t="s">
        <v>866</v>
      </c>
      <c r="O6" s="11" t="s">
        <v>915</v>
      </c>
      <c r="P6" s="11" t="s">
        <v>916</v>
      </c>
      <c r="Q6" s="11" t="s">
        <v>917</v>
      </c>
      <c r="R6" s="21" t="n">
        <v>1</v>
      </c>
      <c r="S6" s="13" t="n">
        <v>3</v>
      </c>
      <c r="T6" s="13" t="n">
        <v>3</v>
      </c>
      <c r="U6" s="13" t="n">
        <v>4</v>
      </c>
      <c r="V6" s="13" t="n">
        <v>4</v>
      </c>
      <c r="W6" s="13" t="n">
        <v>2</v>
      </c>
      <c r="X6" s="11" t="n">
        <f aca="false">ROUND((S6*'Scoring Model'!$B$5+T6*'Scoring Model'!$B$6+U6*'Scoring Model'!$B$7+V6*'Scoring Model'!$B$8+W6*'Scoring Model'!$B$9)/5*100,0)</f>
        <v>64</v>
      </c>
      <c r="Y6" s="34" t="n">
        <f aca="false">INDEX('Scoring Model'!$B$14:$B$17,MATCH(X6,'Scoring Model'!$A$14:$A$17,1))</f>
        <v>0.09</v>
      </c>
      <c r="Z6" s="35" t="n">
        <f aca="false">MOD(TIME(9,5,0)-F6/24,1)</f>
        <v>0.378472222222222</v>
      </c>
      <c r="AA6" s="11" t="str">
        <f aca="false">IF(TIME(9,5,0)-F6/24&lt;0,"previous day (ET)","same day")</f>
        <v>same day</v>
      </c>
      <c r="AB6" s="20"/>
      <c r="AC6" s="11" t="s">
        <v>918</v>
      </c>
      <c r="AD6" s="11" t="s">
        <v>919</v>
      </c>
    </row>
    <row r="7" customFormat="false" ht="35.05" hidden="false" customHeight="false" outlineLevel="0" collapsed="false">
      <c r="A7" s="11" t="n">
        <v>6</v>
      </c>
      <c r="B7" s="19" t="s">
        <v>920</v>
      </c>
      <c r="C7" s="11" t="s">
        <v>921</v>
      </c>
      <c r="D7" s="11" t="s">
        <v>922</v>
      </c>
      <c r="E7" s="11" t="s">
        <v>923</v>
      </c>
      <c r="F7" s="13" t="n">
        <v>7</v>
      </c>
      <c r="G7" s="20" t="s">
        <v>866</v>
      </c>
      <c r="H7" s="11" t="s">
        <v>924</v>
      </c>
      <c r="I7" s="20" t="s">
        <v>866</v>
      </c>
      <c r="J7" s="11" t="s">
        <v>925</v>
      </c>
      <c r="K7" s="11" t="s">
        <v>878</v>
      </c>
      <c r="L7" s="11" t="s">
        <v>926</v>
      </c>
      <c r="M7" s="20" t="s">
        <v>866</v>
      </c>
      <c r="N7" s="20" t="s">
        <v>866</v>
      </c>
      <c r="O7" s="11" t="s">
        <v>927</v>
      </c>
      <c r="P7" s="11" t="s">
        <v>928</v>
      </c>
      <c r="Q7" s="11" t="s">
        <v>896</v>
      </c>
      <c r="R7" s="21" t="n">
        <v>1</v>
      </c>
      <c r="S7" s="13" t="n">
        <v>5</v>
      </c>
      <c r="T7" s="13" t="n">
        <v>4</v>
      </c>
      <c r="U7" s="13" t="n">
        <v>4</v>
      </c>
      <c r="V7" s="13" t="n">
        <v>4</v>
      </c>
      <c r="W7" s="13" t="n">
        <v>2</v>
      </c>
      <c r="X7" s="11" t="n">
        <f aca="false">ROUND((S7*'Scoring Model'!$B$5+T7*'Scoring Model'!$B$6+U7*'Scoring Model'!$B$7+V7*'Scoring Model'!$B$8+W7*'Scoring Model'!$B$9)/5*100,0)</f>
        <v>79</v>
      </c>
      <c r="Y7" s="34" t="n">
        <f aca="false">INDEX('Scoring Model'!$B$14:$B$17,MATCH(X7,'Scoring Model'!$A$14:$A$17,1))</f>
        <v>0.15</v>
      </c>
      <c r="Z7" s="35" t="n">
        <f aca="false">MOD(TIME(9,5,0)-F7/24,1)</f>
        <v>0.0868055555555556</v>
      </c>
      <c r="AA7" s="11" t="str">
        <f aca="false">IF(TIME(9,5,0)-F7/24&lt;0,"previous day (ET)","same day")</f>
        <v>same day</v>
      </c>
      <c r="AB7" s="20"/>
      <c r="AC7" s="11" t="s">
        <v>929</v>
      </c>
      <c r="AD7" s="11" t="s">
        <v>875</v>
      </c>
    </row>
    <row r="8" customFormat="false" ht="23.85" hidden="false" customHeight="false" outlineLevel="0" collapsed="false">
      <c r="A8" s="11" t="n">
        <v>7</v>
      </c>
      <c r="B8" s="19" t="s">
        <v>930</v>
      </c>
      <c r="C8" s="11" t="s">
        <v>931</v>
      </c>
      <c r="D8" s="11" t="s">
        <v>892</v>
      </c>
      <c r="E8" s="11" t="s">
        <v>892</v>
      </c>
      <c r="F8" s="13" t="n">
        <v>0</v>
      </c>
      <c r="G8" s="20" t="s">
        <v>866</v>
      </c>
      <c r="H8" s="11" t="s">
        <v>878</v>
      </c>
      <c r="I8" s="20" t="s">
        <v>866</v>
      </c>
      <c r="J8" s="11" t="s">
        <v>932</v>
      </c>
      <c r="K8" s="11" t="s">
        <v>933</v>
      </c>
      <c r="L8" s="11" t="s">
        <v>878</v>
      </c>
      <c r="M8" s="20" t="s">
        <v>866</v>
      </c>
      <c r="N8" s="20" t="s">
        <v>866</v>
      </c>
      <c r="O8" s="11" t="s">
        <v>934</v>
      </c>
      <c r="P8" s="11" t="s">
        <v>935</v>
      </c>
      <c r="Q8" s="11" t="s">
        <v>936</v>
      </c>
      <c r="R8" s="21" t="n">
        <v>1</v>
      </c>
      <c r="S8" s="13" t="n">
        <v>5</v>
      </c>
      <c r="T8" s="13" t="n">
        <v>1</v>
      </c>
      <c r="U8" s="13" t="n">
        <v>3</v>
      </c>
      <c r="V8" s="13" t="n">
        <v>3</v>
      </c>
      <c r="W8" s="13" t="n">
        <v>2</v>
      </c>
      <c r="X8" s="11" t="n">
        <f aca="false">ROUND((S8*'Scoring Model'!$B$5+T8*'Scoring Model'!$B$6+U8*'Scoring Model'!$B$7+V8*'Scoring Model'!$B$8+W8*'Scoring Model'!$B$9)/5*100,0)</f>
        <v>57</v>
      </c>
      <c r="Y8" s="34" t="n">
        <f aca="false">INDEX('Scoring Model'!$B$14:$B$17,MATCH(X8,'Scoring Model'!$A$14:$A$17,1))</f>
        <v>0.09</v>
      </c>
      <c r="Z8" s="35" t="n">
        <f aca="false">MOD(TIME(9,5,0)-F8/24,1)</f>
        <v>0.378472222222222</v>
      </c>
      <c r="AA8" s="11" t="str">
        <f aca="false">IF(TIME(9,5,0)-F8/24&lt;0,"previous day (ET)","same day")</f>
        <v>same day</v>
      </c>
      <c r="AB8" s="20"/>
      <c r="AC8" s="11" t="s">
        <v>937</v>
      </c>
      <c r="AD8" s="11" t="s">
        <v>919</v>
      </c>
    </row>
    <row r="9" customFormat="false" ht="57.45" hidden="false" customHeight="false" outlineLevel="0" collapsed="false">
      <c r="A9" s="11" t="n">
        <v>8</v>
      </c>
      <c r="B9" s="23" t="s">
        <v>938</v>
      </c>
      <c r="C9" s="11" t="s">
        <v>939</v>
      </c>
      <c r="D9" s="11" t="s">
        <v>864</v>
      </c>
      <c r="E9" s="11" t="s">
        <v>889</v>
      </c>
      <c r="F9" s="13" t="n">
        <v>-3</v>
      </c>
      <c r="G9" s="11" t="s">
        <v>940</v>
      </c>
      <c r="H9" s="11" t="s">
        <v>941</v>
      </c>
      <c r="I9" s="20" t="s">
        <v>866</v>
      </c>
      <c r="J9" s="20" t="s">
        <v>942</v>
      </c>
      <c r="K9" s="20" t="s">
        <v>892</v>
      </c>
      <c r="L9" s="11" t="s">
        <v>878</v>
      </c>
      <c r="M9" s="20" t="s">
        <v>866</v>
      </c>
      <c r="N9" s="11" t="s">
        <v>943</v>
      </c>
      <c r="O9" s="11" t="s">
        <v>944</v>
      </c>
      <c r="P9" s="11" t="s">
        <v>945</v>
      </c>
      <c r="Q9" s="11" t="s">
        <v>946</v>
      </c>
      <c r="R9" s="24" t="n">
        <v>2</v>
      </c>
      <c r="S9" s="13" t="n">
        <v>4</v>
      </c>
      <c r="T9" s="13" t="n">
        <v>3</v>
      </c>
      <c r="U9" s="13" t="n">
        <v>3</v>
      </c>
      <c r="V9" s="13" t="n">
        <v>2</v>
      </c>
      <c r="W9" s="13" t="n">
        <v>3</v>
      </c>
      <c r="X9" s="11" t="n">
        <f aca="false">ROUND((S9*'Scoring Model'!$B$5+T9*'Scoring Model'!$B$6+U9*'Scoring Model'!$B$7+V9*'Scoring Model'!$B$8+W9*'Scoring Model'!$B$9)/5*100,0)</f>
        <v>62</v>
      </c>
      <c r="Y9" s="34" t="n">
        <f aca="false">INDEX('Scoring Model'!$B$14:$B$17,MATCH(X9,'Scoring Model'!$A$14:$A$17,1))</f>
        <v>0.09</v>
      </c>
      <c r="Z9" s="35" t="n">
        <f aca="false">MOD(TIME(9,5,0)-F9/24,1)</f>
        <v>0.503472222222222</v>
      </c>
      <c r="AA9" s="11" t="str">
        <f aca="false">IF(TIME(9,5,0)-F9/24&lt;0,"previous day (ET)","same day")</f>
        <v>same day</v>
      </c>
      <c r="AB9" s="20"/>
      <c r="AC9" s="11" t="s">
        <v>947</v>
      </c>
      <c r="AD9" s="11" t="s">
        <v>919</v>
      </c>
    </row>
    <row r="10" customFormat="false" ht="23.85" hidden="false" customHeight="false" outlineLevel="0" collapsed="false">
      <c r="A10" s="11" t="n">
        <v>9</v>
      </c>
      <c r="B10" s="36" t="s">
        <v>948</v>
      </c>
      <c r="C10" s="11" t="s">
        <v>949</v>
      </c>
      <c r="D10" s="11" t="s">
        <v>864</v>
      </c>
      <c r="E10" s="11" t="s">
        <v>889</v>
      </c>
      <c r="F10" s="13" t="n">
        <v>-3</v>
      </c>
      <c r="G10" s="20" t="s">
        <v>866</v>
      </c>
      <c r="H10" s="11" t="s">
        <v>950</v>
      </c>
      <c r="I10" s="20" t="s">
        <v>866</v>
      </c>
      <c r="J10" s="20" t="s">
        <v>892</v>
      </c>
      <c r="K10" s="20" t="s">
        <v>892</v>
      </c>
      <c r="L10" s="11" t="s">
        <v>878</v>
      </c>
      <c r="M10" s="20" t="s">
        <v>866</v>
      </c>
      <c r="N10" s="20" t="s">
        <v>866</v>
      </c>
      <c r="O10" s="11" t="s">
        <v>951</v>
      </c>
      <c r="P10" s="11" t="s">
        <v>952</v>
      </c>
      <c r="Q10" s="11" t="s">
        <v>953</v>
      </c>
      <c r="R10" s="37" t="n">
        <v>3</v>
      </c>
      <c r="S10" s="13" t="n">
        <v>3</v>
      </c>
      <c r="T10" s="13" t="n">
        <v>2</v>
      </c>
      <c r="U10" s="13" t="n">
        <v>3</v>
      </c>
      <c r="V10" s="13" t="n">
        <v>2</v>
      </c>
      <c r="W10" s="13" t="n">
        <v>2</v>
      </c>
      <c r="X10" s="11" t="n">
        <f aca="false">ROUND((S10*'Scoring Model'!$B$5+T10*'Scoring Model'!$B$6+U10*'Scoring Model'!$B$7+V10*'Scoring Model'!$B$8+W10*'Scoring Model'!$B$9)/5*100,0)</f>
        <v>49</v>
      </c>
      <c r="Y10" s="34" t="n">
        <f aca="false">INDEX('Scoring Model'!$B$14:$B$17,MATCH(X10,'Scoring Model'!$A$14:$A$17,1))</f>
        <v>0.04</v>
      </c>
      <c r="Z10" s="35" t="n">
        <f aca="false">MOD(TIME(9,5,0)-F10/24,1)</f>
        <v>0.503472222222222</v>
      </c>
      <c r="AA10" s="11" t="str">
        <f aca="false">IF(TIME(9,5,0)-F10/24&lt;0,"previous day (ET)","same day")</f>
        <v>same day</v>
      </c>
      <c r="AB10" s="20"/>
      <c r="AC10" s="11" t="s">
        <v>954</v>
      </c>
      <c r="AD10" s="11" t="s">
        <v>919</v>
      </c>
    </row>
    <row r="11" customFormat="false" ht="23.85" hidden="false" customHeight="false" outlineLevel="0" collapsed="false">
      <c r="A11" s="11" t="n">
        <v>10</v>
      </c>
      <c r="B11" s="23" t="s">
        <v>955</v>
      </c>
      <c r="C11" s="11" t="s">
        <v>939</v>
      </c>
      <c r="D11" s="11" t="s">
        <v>864</v>
      </c>
      <c r="E11" s="11" t="s">
        <v>889</v>
      </c>
      <c r="F11" s="13" t="n">
        <v>-3</v>
      </c>
      <c r="G11" s="20" t="s">
        <v>866</v>
      </c>
      <c r="H11" s="11" t="s">
        <v>878</v>
      </c>
      <c r="I11" s="20" t="s">
        <v>866</v>
      </c>
      <c r="J11" s="20" t="s">
        <v>956</v>
      </c>
      <c r="K11" s="20" t="s">
        <v>892</v>
      </c>
      <c r="L11" s="11" t="s">
        <v>878</v>
      </c>
      <c r="M11" s="20" t="s">
        <v>866</v>
      </c>
      <c r="N11" s="20" t="s">
        <v>866</v>
      </c>
      <c r="O11" s="11" t="s">
        <v>957</v>
      </c>
      <c r="P11" s="11" t="s">
        <v>958</v>
      </c>
      <c r="Q11" s="11" t="s">
        <v>896</v>
      </c>
      <c r="R11" s="24" t="n">
        <v>2</v>
      </c>
      <c r="S11" s="13" t="n">
        <v>3</v>
      </c>
      <c r="T11" s="13" t="n">
        <v>3</v>
      </c>
      <c r="U11" s="13" t="n">
        <v>4</v>
      </c>
      <c r="V11" s="13" t="n">
        <v>4</v>
      </c>
      <c r="W11" s="13" t="n">
        <v>3</v>
      </c>
      <c r="X11" s="11" t="n">
        <f aca="false">ROUND((S11*'Scoring Model'!$B$5+T11*'Scoring Model'!$B$6+U11*'Scoring Model'!$B$7+V11*'Scoring Model'!$B$8+W11*'Scoring Model'!$B$9)/5*100,0)</f>
        <v>67</v>
      </c>
      <c r="Y11" s="34" t="n">
        <f aca="false">INDEX('Scoring Model'!$B$14:$B$17,MATCH(X11,'Scoring Model'!$A$14:$A$17,1))</f>
        <v>0.15</v>
      </c>
      <c r="Z11" s="35" t="n">
        <f aca="false">MOD(TIME(9,5,0)-F11/24,1)</f>
        <v>0.503472222222222</v>
      </c>
      <c r="AA11" s="11" t="str">
        <f aca="false">IF(TIME(9,5,0)-F11/24&lt;0,"previous day (ET)","same day")</f>
        <v>same day</v>
      </c>
      <c r="AB11" s="20"/>
      <c r="AC11" s="11" t="s">
        <v>959</v>
      </c>
      <c r="AD11" s="11" t="s">
        <v>919</v>
      </c>
    </row>
    <row r="12" customFormat="false" ht="23.85" hidden="false" customHeight="false" outlineLevel="0" collapsed="false">
      <c r="A12" s="11" t="n">
        <v>11</v>
      </c>
      <c r="B12" s="23" t="s">
        <v>960</v>
      </c>
      <c r="C12" s="11" t="s">
        <v>961</v>
      </c>
      <c r="D12" s="11" t="s">
        <v>864</v>
      </c>
      <c r="E12" s="11" t="s">
        <v>889</v>
      </c>
      <c r="F12" s="13" t="n">
        <v>-3</v>
      </c>
      <c r="G12" s="20" t="s">
        <v>866</v>
      </c>
      <c r="H12" s="11" t="s">
        <v>878</v>
      </c>
      <c r="I12" s="20" t="s">
        <v>866</v>
      </c>
      <c r="J12" s="20" t="s">
        <v>956</v>
      </c>
      <c r="K12" s="20" t="s">
        <v>892</v>
      </c>
      <c r="L12" s="11" t="s">
        <v>878</v>
      </c>
      <c r="M12" s="20" t="s">
        <v>866</v>
      </c>
      <c r="N12" s="20" t="s">
        <v>866</v>
      </c>
      <c r="O12" s="11" t="s">
        <v>962</v>
      </c>
      <c r="P12" s="11" t="s">
        <v>963</v>
      </c>
      <c r="Q12" s="11" t="s">
        <v>896</v>
      </c>
      <c r="R12" s="24" t="n">
        <v>2</v>
      </c>
      <c r="S12" s="13" t="n">
        <v>3</v>
      </c>
      <c r="T12" s="13" t="n">
        <v>3</v>
      </c>
      <c r="U12" s="13" t="n">
        <v>3</v>
      </c>
      <c r="V12" s="13" t="n">
        <v>4</v>
      </c>
      <c r="W12" s="13" t="n">
        <v>3</v>
      </c>
      <c r="X12" s="11" t="n">
        <f aca="false">ROUND((S12*'Scoring Model'!$B$5+T12*'Scoring Model'!$B$6+U12*'Scoring Model'!$B$7+V12*'Scoring Model'!$B$8+W12*'Scoring Model'!$B$9)/5*100,0)</f>
        <v>63</v>
      </c>
      <c r="Y12" s="34" t="n">
        <f aca="false">INDEX('Scoring Model'!$B$14:$B$17,MATCH(X12,'Scoring Model'!$A$14:$A$17,1))</f>
        <v>0.09</v>
      </c>
      <c r="Z12" s="35" t="n">
        <f aca="false">MOD(TIME(9,5,0)-F12/24,1)</f>
        <v>0.503472222222222</v>
      </c>
      <c r="AA12" s="11" t="str">
        <f aca="false">IF(TIME(9,5,0)-F12/24&lt;0,"previous day (ET)","same day")</f>
        <v>same day</v>
      </c>
      <c r="AB12" s="20"/>
      <c r="AC12" s="11" t="s">
        <v>964</v>
      </c>
      <c r="AD12" s="11" t="s">
        <v>919</v>
      </c>
    </row>
    <row r="13" customFormat="false" ht="35.05" hidden="false" customHeight="false" outlineLevel="0" collapsed="false">
      <c r="A13" s="11" t="n">
        <v>12</v>
      </c>
      <c r="B13" s="23" t="s">
        <v>965</v>
      </c>
      <c r="C13" s="11" t="s">
        <v>939</v>
      </c>
      <c r="D13" s="11" t="s">
        <v>864</v>
      </c>
      <c r="E13" s="11" t="s">
        <v>889</v>
      </c>
      <c r="F13" s="13" t="n">
        <v>-3</v>
      </c>
      <c r="G13" s="20" t="s">
        <v>866</v>
      </c>
      <c r="H13" s="11" t="s">
        <v>878</v>
      </c>
      <c r="I13" s="20" t="s">
        <v>866</v>
      </c>
      <c r="J13" s="20" t="s">
        <v>892</v>
      </c>
      <c r="K13" s="20" t="s">
        <v>892</v>
      </c>
      <c r="L13" s="11" t="s">
        <v>878</v>
      </c>
      <c r="M13" s="20" t="s">
        <v>866</v>
      </c>
      <c r="N13" s="20" t="s">
        <v>866</v>
      </c>
      <c r="O13" s="11" t="s">
        <v>966</v>
      </c>
      <c r="P13" s="11" t="s">
        <v>967</v>
      </c>
      <c r="Q13" s="11" t="s">
        <v>968</v>
      </c>
      <c r="R13" s="24" t="n">
        <v>2</v>
      </c>
      <c r="S13" s="13" t="n">
        <v>4</v>
      </c>
      <c r="T13" s="13" t="n">
        <v>2</v>
      </c>
      <c r="U13" s="13" t="n">
        <v>3</v>
      </c>
      <c r="V13" s="13" t="n">
        <v>4</v>
      </c>
      <c r="W13" s="13" t="n">
        <v>3</v>
      </c>
      <c r="X13" s="11" t="n">
        <f aca="false">ROUND((S13*'Scoring Model'!$B$5+T13*'Scoring Model'!$B$6+U13*'Scoring Model'!$B$7+V13*'Scoring Model'!$B$8+W13*'Scoring Model'!$B$9)/5*100,0)</f>
        <v>63</v>
      </c>
      <c r="Y13" s="34" t="n">
        <f aca="false">INDEX('Scoring Model'!$B$14:$B$17,MATCH(X13,'Scoring Model'!$A$14:$A$17,1))</f>
        <v>0.09</v>
      </c>
      <c r="Z13" s="35" t="n">
        <f aca="false">MOD(TIME(9,5,0)-F13/24,1)</f>
        <v>0.503472222222222</v>
      </c>
      <c r="AA13" s="11" t="str">
        <f aca="false">IF(TIME(9,5,0)-F13/24&lt;0,"previous day (ET)","same day")</f>
        <v>same day</v>
      </c>
      <c r="AB13" s="20"/>
      <c r="AC13" s="11" t="s">
        <v>969</v>
      </c>
      <c r="AD13" s="11" t="s">
        <v>919</v>
      </c>
    </row>
    <row r="14" customFormat="false" ht="23.85" hidden="false" customHeight="false" outlineLevel="0" collapsed="false">
      <c r="A14" s="11" t="n">
        <v>13</v>
      </c>
      <c r="B14" s="23" t="s">
        <v>970</v>
      </c>
      <c r="C14" s="11" t="s">
        <v>912</v>
      </c>
      <c r="D14" s="11" t="s">
        <v>864</v>
      </c>
      <c r="E14" s="11" t="s">
        <v>971</v>
      </c>
      <c r="F14" s="13" t="n">
        <v>0</v>
      </c>
      <c r="G14" s="11" t="s">
        <v>972</v>
      </c>
      <c r="H14" s="11" t="s">
        <v>973</v>
      </c>
      <c r="I14" s="20" t="s">
        <v>866</v>
      </c>
      <c r="J14" s="11" t="s">
        <v>974</v>
      </c>
      <c r="K14" s="20" t="s">
        <v>892</v>
      </c>
      <c r="L14" s="11" t="s">
        <v>878</v>
      </c>
      <c r="M14" s="20" t="s">
        <v>866</v>
      </c>
      <c r="N14" s="20" t="s">
        <v>866</v>
      </c>
      <c r="O14" s="11" t="s">
        <v>975</v>
      </c>
      <c r="P14" s="11" t="s">
        <v>976</v>
      </c>
      <c r="Q14" s="11" t="s">
        <v>977</v>
      </c>
      <c r="R14" s="24" t="n">
        <v>2</v>
      </c>
      <c r="S14" s="13" t="n">
        <v>3</v>
      </c>
      <c r="T14" s="13" t="n">
        <v>3</v>
      </c>
      <c r="U14" s="13" t="n">
        <v>3</v>
      </c>
      <c r="V14" s="13" t="n">
        <v>4</v>
      </c>
      <c r="W14" s="13" t="n">
        <v>2</v>
      </c>
      <c r="X14" s="11" t="n">
        <f aca="false">ROUND((S14*'Scoring Model'!$B$5+T14*'Scoring Model'!$B$6+U14*'Scoring Model'!$B$7+V14*'Scoring Model'!$B$8+W14*'Scoring Model'!$B$9)/5*100,0)</f>
        <v>60</v>
      </c>
      <c r="Y14" s="34" t="n">
        <f aca="false">INDEX('Scoring Model'!$B$14:$B$17,MATCH(X14,'Scoring Model'!$A$14:$A$17,1))</f>
        <v>0.09</v>
      </c>
      <c r="Z14" s="35" t="n">
        <f aca="false">MOD(TIME(9,5,0)-F14/24,1)</f>
        <v>0.378472222222222</v>
      </c>
      <c r="AA14" s="11" t="str">
        <f aca="false">IF(TIME(9,5,0)-F14/24&lt;0,"previous day (ET)","same day")</f>
        <v>same day</v>
      </c>
      <c r="AB14" s="20"/>
      <c r="AC14" s="11" t="s">
        <v>978</v>
      </c>
      <c r="AD14" s="11" t="s">
        <v>919</v>
      </c>
    </row>
    <row r="15" customFormat="false" ht="35.05" hidden="false" customHeight="false" outlineLevel="0" collapsed="false">
      <c r="A15" s="11" t="n">
        <v>14</v>
      </c>
      <c r="B15" s="23" t="s">
        <v>979</v>
      </c>
      <c r="C15" s="11" t="s">
        <v>980</v>
      </c>
      <c r="D15" s="11" t="s">
        <v>864</v>
      </c>
      <c r="E15" s="11" t="s">
        <v>865</v>
      </c>
      <c r="F15" s="13" t="n">
        <v>0</v>
      </c>
      <c r="G15" s="20" t="s">
        <v>866</v>
      </c>
      <c r="H15" s="11" t="s">
        <v>878</v>
      </c>
      <c r="I15" s="20" t="s">
        <v>866</v>
      </c>
      <c r="J15" s="20" t="s">
        <v>892</v>
      </c>
      <c r="K15" s="20" t="s">
        <v>892</v>
      </c>
      <c r="L15" s="11" t="s">
        <v>878</v>
      </c>
      <c r="M15" s="20" t="s">
        <v>866</v>
      </c>
      <c r="N15" s="20" t="s">
        <v>866</v>
      </c>
      <c r="O15" s="11" t="s">
        <v>981</v>
      </c>
      <c r="P15" s="11" t="s">
        <v>982</v>
      </c>
      <c r="Q15" s="11" t="s">
        <v>968</v>
      </c>
      <c r="R15" s="24" t="n">
        <v>2</v>
      </c>
      <c r="S15" s="13" t="n">
        <v>3</v>
      </c>
      <c r="T15" s="13" t="n">
        <v>3</v>
      </c>
      <c r="U15" s="13" t="n">
        <v>2</v>
      </c>
      <c r="V15" s="13" t="n">
        <v>4</v>
      </c>
      <c r="W15" s="13" t="n">
        <v>3</v>
      </c>
      <c r="X15" s="11" t="n">
        <f aca="false">ROUND((S15*'Scoring Model'!$B$5+T15*'Scoring Model'!$B$6+U15*'Scoring Model'!$B$7+V15*'Scoring Model'!$B$8+W15*'Scoring Model'!$B$9)/5*100,0)</f>
        <v>59</v>
      </c>
      <c r="Y15" s="34" t="n">
        <f aca="false">INDEX('Scoring Model'!$B$14:$B$17,MATCH(X15,'Scoring Model'!$A$14:$A$17,1))</f>
        <v>0.09</v>
      </c>
      <c r="Z15" s="35" t="n">
        <f aca="false">MOD(TIME(9,5,0)-F15/24,1)</f>
        <v>0.378472222222222</v>
      </c>
      <c r="AA15" s="11" t="str">
        <f aca="false">IF(TIME(9,5,0)-F15/24&lt;0,"previous day (ET)","same day")</f>
        <v>same day</v>
      </c>
      <c r="AB15" s="20"/>
      <c r="AC15" s="11" t="s">
        <v>983</v>
      </c>
      <c r="AD15" s="11" t="s">
        <v>919</v>
      </c>
    </row>
    <row r="16" customFormat="false" ht="35.05" hidden="false" customHeight="false" outlineLevel="0" collapsed="false">
      <c r="A16" s="11" t="n">
        <v>15</v>
      </c>
      <c r="B16" s="23" t="s">
        <v>984</v>
      </c>
      <c r="C16" s="11" t="s">
        <v>985</v>
      </c>
      <c r="D16" s="11" t="s">
        <v>986</v>
      </c>
      <c r="E16" s="11" t="s">
        <v>987</v>
      </c>
      <c r="F16" s="13" t="n">
        <v>14</v>
      </c>
      <c r="G16" s="20" t="s">
        <v>866</v>
      </c>
      <c r="H16" s="11" t="s">
        <v>878</v>
      </c>
      <c r="I16" s="20" t="s">
        <v>866</v>
      </c>
      <c r="J16" s="20" t="s">
        <v>892</v>
      </c>
      <c r="K16" s="20" t="s">
        <v>892</v>
      </c>
      <c r="L16" s="11" t="s">
        <v>878</v>
      </c>
      <c r="M16" s="20" t="s">
        <v>866</v>
      </c>
      <c r="N16" s="20" t="s">
        <v>866</v>
      </c>
      <c r="O16" s="11" t="s">
        <v>988</v>
      </c>
      <c r="P16" s="11" t="s">
        <v>989</v>
      </c>
      <c r="Q16" s="11" t="s">
        <v>968</v>
      </c>
      <c r="R16" s="24" t="n">
        <v>2</v>
      </c>
      <c r="S16" s="13" t="n">
        <v>3</v>
      </c>
      <c r="T16" s="13" t="n">
        <v>3</v>
      </c>
      <c r="U16" s="13" t="n">
        <v>3</v>
      </c>
      <c r="V16" s="13" t="n">
        <v>4</v>
      </c>
      <c r="W16" s="13" t="n">
        <v>3</v>
      </c>
      <c r="X16" s="11" t="n">
        <f aca="false">ROUND((S16*'Scoring Model'!$B$5+T16*'Scoring Model'!$B$6+U16*'Scoring Model'!$B$7+V16*'Scoring Model'!$B$8+W16*'Scoring Model'!$B$9)/5*100,0)</f>
        <v>63</v>
      </c>
      <c r="Y16" s="34" t="n">
        <f aca="false">INDEX('Scoring Model'!$B$14:$B$17,MATCH(X16,'Scoring Model'!$A$14:$A$17,1))</f>
        <v>0.09</v>
      </c>
      <c r="Z16" s="35" t="n">
        <f aca="false">MOD(TIME(9,5,0)-F16/24,1)</f>
        <v>0.795138888888866</v>
      </c>
      <c r="AA16" s="11" t="str">
        <f aca="false">IF(TIME(9,5,0)-F16/24&lt;0,"previous day (ET)","same day")</f>
        <v>previous day (ET)</v>
      </c>
      <c r="AB16" s="20"/>
      <c r="AC16" s="11" t="s">
        <v>990</v>
      </c>
      <c r="AD16" s="11" t="s">
        <v>919</v>
      </c>
    </row>
    <row r="17" customFormat="false" ht="35.05" hidden="false" customHeight="false" outlineLevel="0" collapsed="false">
      <c r="A17" s="11" t="n">
        <v>16</v>
      </c>
      <c r="B17" s="23" t="s">
        <v>991</v>
      </c>
      <c r="C17" s="11" t="s">
        <v>992</v>
      </c>
      <c r="D17" s="11" t="s">
        <v>892</v>
      </c>
      <c r="E17" s="11" t="s">
        <v>892</v>
      </c>
      <c r="F17" s="13" t="n">
        <v>0</v>
      </c>
      <c r="G17" s="20" t="s">
        <v>866</v>
      </c>
      <c r="H17" s="11" t="s">
        <v>878</v>
      </c>
      <c r="I17" s="20" t="s">
        <v>866</v>
      </c>
      <c r="J17" s="11" t="s">
        <v>993</v>
      </c>
      <c r="K17" s="20" t="s">
        <v>892</v>
      </c>
      <c r="L17" s="11" t="s">
        <v>878</v>
      </c>
      <c r="M17" s="20" t="s">
        <v>866</v>
      </c>
      <c r="N17" s="20" t="s">
        <v>866</v>
      </c>
      <c r="O17" s="11" t="s">
        <v>994</v>
      </c>
      <c r="P17" s="11" t="s">
        <v>995</v>
      </c>
      <c r="Q17" s="11" t="s">
        <v>996</v>
      </c>
      <c r="R17" s="24" t="n">
        <v>2</v>
      </c>
      <c r="S17" s="13" t="n">
        <v>4</v>
      </c>
      <c r="T17" s="13" t="n">
        <v>3</v>
      </c>
      <c r="U17" s="13" t="n">
        <v>3</v>
      </c>
      <c r="V17" s="13" t="n">
        <v>4</v>
      </c>
      <c r="W17" s="13" t="n">
        <v>2</v>
      </c>
      <c r="X17" s="11" t="n">
        <f aca="false">ROUND((S17*'Scoring Model'!$B$5+T17*'Scoring Model'!$B$6+U17*'Scoring Model'!$B$7+V17*'Scoring Model'!$B$8+W17*'Scoring Model'!$B$9)/5*100,0)</f>
        <v>65</v>
      </c>
      <c r="Y17" s="34" t="n">
        <f aca="false">INDEX('Scoring Model'!$B$14:$B$17,MATCH(X17,'Scoring Model'!$A$14:$A$17,1))</f>
        <v>0.15</v>
      </c>
      <c r="Z17" s="35" t="n">
        <f aca="false">MOD(TIME(9,5,0)-F17/24,1)</f>
        <v>0.378472222222222</v>
      </c>
      <c r="AA17" s="11" t="str">
        <f aca="false">IF(TIME(9,5,0)-F17/24&lt;0,"previous day (ET)","same day")</f>
        <v>same day</v>
      </c>
      <c r="AB17" s="20"/>
      <c r="AC17" s="11" t="s">
        <v>997</v>
      </c>
      <c r="AD17" s="11" t="s">
        <v>919</v>
      </c>
    </row>
    <row r="18" customFormat="false" ht="23.85" hidden="false" customHeight="false" outlineLevel="0" collapsed="false">
      <c r="A18" s="11" t="n">
        <v>17</v>
      </c>
      <c r="B18" s="23" t="s">
        <v>998</v>
      </c>
      <c r="C18" s="11" t="s">
        <v>999</v>
      </c>
      <c r="D18" s="11" t="s">
        <v>892</v>
      </c>
      <c r="E18" s="11" t="s">
        <v>892</v>
      </c>
      <c r="F18" s="13" t="n">
        <v>0</v>
      </c>
      <c r="G18" s="20" t="s">
        <v>866</v>
      </c>
      <c r="H18" s="11" t="s">
        <v>878</v>
      </c>
      <c r="I18" s="20" t="s">
        <v>866</v>
      </c>
      <c r="J18" s="11" t="s">
        <v>1000</v>
      </c>
      <c r="K18" s="20" t="s">
        <v>892</v>
      </c>
      <c r="L18" s="11" t="s">
        <v>878</v>
      </c>
      <c r="M18" s="20" t="s">
        <v>866</v>
      </c>
      <c r="N18" s="20" t="s">
        <v>866</v>
      </c>
      <c r="O18" s="11" t="s">
        <v>1001</v>
      </c>
      <c r="P18" s="11" t="s">
        <v>1002</v>
      </c>
      <c r="Q18" s="11" t="s">
        <v>1003</v>
      </c>
      <c r="R18" s="24" t="n">
        <v>2</v>
      </c>
      <c r="S18" s="13" t="n">
        <v>4</v>
      </c>
      <c r="T18" s="13" t="n">
        <v>3</v>
      </c>
      <c r="U18" s="13" t="n">
        <v>3</v>
      </c>
      <c r="V18" s="13" t="n">
        <v>4</v>
      </c>
      <c r="W18" s="13" t="n">
        <v>3</v>
      </c>
      <c r="X18" s="11" t="n">
        <f aca="false">ROUND((S18*'Scoring Model'!$B$5+T18*'Scoring Model'!$B$6+U18*'Scoring Model'!$B$7+V18*'Scoring Model'!$B$8+W18*'Scoring Model'!$B$9)/5*100,0)</f>
        <v>68</v>
      </c>
      <c r="Y18" s="34" t="n">
        <f aca="false">INDEX('Scoring Model'!$B$14:$B$17,MATCH(X18,'Scoring Model'!$A$14:$A$17,1))</f>
        <v>0.15</v>
      </c>
      <c r="Z18" s="35" t="n">
        <f aca="false">MOD(TIME(9,5,0)-F18/24,1)</f>
        <v>0.378472222222222</v>
      </c>
      <c r="AA18" s="11" t="str">
        <f aca="false">IF(TIME(9,5,0)-F18/24&lt;0,"previous day (ET)","same day")</f>
        <v>same day</v>
      </c>
      <c r="AB18" s="20"/>
      <c r="AC18" s="11" t="s">
        <v>1004</v>
      </c>
      <c r="AD18" s="11" t="s">
        <v>919</v>
      </c>
    </row>
    <row r="19" customFormat="false" ht="35.05" hidden="false" customHeight="false" outlineLevel="0" collapsed="false">
      <c r="A19" s="11" t="n">
        <v>18</v>
      </c>
      <c r="B19" s="23" t="s">
        <v>1005</v>
      </c>
      <c r="C19" s="11" t="s">
        <v>1006</v>
      </c>
      <c r="D19" s="11" t="s">
        <v>1007</v>
      </c>
      <c r="E19" s="11" t="s">
        <v>1008</v>
      </c>
      <c r="F19" s="13" t="n">
        <v>5</v>
      </c>
      <c r="G19" s="20" t="s">
        <v>866</v>
      </c>
      <c r="H19" s="11" t="s">
        <v>878</v>
      </c>
      <c r="I19" s="20" t="s">
        <v>866</v>
      </c>
      <c r="J19" s="20" t="s">
        <v>892</v>
      </c>
      <c r="K19" s="20" t="s">
        <v>892</v>
      </c>
      <c r="L19" s="11" t="s">
        <v>878</v>
      </c>
      <c r="M19" s="20" t="s">
        <v>866</v>
      </c>
      <c r="N19" s="20" t="s">
        <v>866</v>
      </c>
      <c r="O19" s="11" t="s">
        <v>1009</v>
      </c>
      <c r="P19" s="11" t="s">
        <v>1010</v>
      </c>
      <c r="Q19" s="11" t="s">
        <v>1011</v>
      </c>
      <c r="R19" s="24" t="n">
        <v>2</v>
      </c>
      <c r="S19" s="13" t="n">
        <v>3</v>
      </c>
      <c r="T19" s="13" t="n">
        <v>3</v>
      </c>
      <c r="U19" s="13" t="n">
        <v>4</v>
      </c>
      <c r="V19" s="13" t="n">
        <v>4</v>
      </c>
      <c r="W19" s="13" t="n">
        <v>2</v>
      </c>
      <c r="X19" s="11" t="n">
        <f aca="false">ROUND((S19*'Scoring Model'!$B$5+T19*'Scoring Model'!$B$6+U19*'Scoring Model'!$B$7+V19*'Scoring Model'!$B$8+W19*'Scoring Model'!$B$9)/5*100,0)</f>
        <v>64</v>
      </c>
      <c r="Y19" s="34" t="n">
        <f aca="false">INDEX('Scoring Model'!$B$14:$B$17,MATCH(X19,'Scoring Model'!$A$14:$A$17,1))</f>
        <v>0.09</v>
      </c>
      <c r="Z19" s="35" t="n">
        <f aca="false">MOD(TIME(9,5,0)-F19/24,1)</f>
        <v>0.170138888888889</v>
      </c>
      <c r="AA19" s="11" t="str">
        <f aca="false">IF(TIME(9,5,0)-F19/24&lt;0,"previous day (ET)","same day")</f>
        <v>same day</v>
      </c>
      <c r="AB19" s="20"/>
      <c r="AC19" s="11" t="s">
        <v>1012</v>
      </c>
      <c r="AD19" s="11" t="s">
        <v>919</v>
      </c>
    </row>
    <row r="20" customFormat="false" ht="23.85" hidden="false" customHeight="false" outlineLevel="0" collapsed="false">
      <c r="A20" s="11" t="n">
        <v>19</v>
      </c>
      <c r="B20" s="23" t="s">
        <v>1013</v>
      </c>
      <c r="C20" s="11" t="s">
        <v>1014</v>
      </c>
      <c r="D20" s="11" t="s">
        <v>1015</v>
      </c>
      <c r="E20" s="11" t="s">
        <v>1008</v>
      </c>
      <c r="F20" s="13" t="n">
        <v>5</v>
      </c>
      <c r="G20" s="20" t="s">
        <v>866</v>
      </c>
      <c r="H20" s="11" t="s">
        <v>878</v>
      </c>
      <c r="I20" s="20" t="s">
        <v>866</v>
      </c>
      <c r="J20" s="11" t="s">
        <v>1016</v>
      </c>
      <c r="K20" s="11" t="s">
        <v>1017</v>
      </c>
      <c r="L20" s="11" t="s">
        <v>1018</v>
      </c>
      <c r="M20" s="20" t="s">
        <v>866</v>
      </c>
      <c r="N20" s="20" t="s">
        <v>866</v>
      </c>
      <c r="O20" s="11" t="s">
        <v>1019</v>
      </c>
      <c r="P20" s="11" t="s">
        <v>1020</v>
      </c>
      <c r="Q20" s="11" t="s">
        <v>1021</v>
      </c>
      <c r="R20" s="24" t="n">
        <v>2</v>
      </c>
      <c r="S20" s="13" t="n">
        <v>3</v>
      </c>
      <c r="T20" s="13" t="n">
        <v>3</v>
      </c>
      <c r="U20" s="13" t="n">
        <v>3</v>
      </c>
      <c r="V20" s="13" t="n">
        <v>4</v>
      </c>
      <c r="W20" s="13" t="n">
        <v>2</v>
      </c>
      <c r="X20" s="11" t="n">
        <f aca="false">ROUND((S20*'Scoring Model'!$B$5+T20*'Scoring Model'!$B$6+U20*'Scoring Model'!$B$7+V20*'Scoring Model'!$B$8+W20*'Scoring Model'!$B$9)/5*100,0)</f>
        <v>60</v>
      </c>
      <c r="Y20" s="34" t="n">
        <f aca="false">INDEX('Scoring Model'!$B$14:$B$17,MATCH(X20,'Scoring Model'!$A$14:$A$17,1))</f>
        <v>0.09</v>
      </c>
      <c r="Z20" s="35" t="n">
        <f aca="false">MOD(TIME(9,5,0)-F20/24,1)</f>
        <v>0.170138888888889</v>
      </c>
      <c r="AA20" s="11" t="str">
        <f aca="false">IF(TIME(9,5,0)-F20/24&lt;0,"previous day (ET)","same day")</f>
        <v>same day</v>
      </c>
      <c r="AB20" s="20"/>
      <c r="AC20" s="11" t="s">
        <v>1022</v>
      </c>
      <c r="AD20" s="11" t="s">
        <v>919</v>
      </c>
    </row>
    <row r="21" customFormat="false" ht="35.05" hidden="false" customHeight="false" outlineLevel="0" collapsed="false">
      <c r="A21" s="11" t="n">
        <v>20</v>
      </c>
      <c r="B21" s="23" t="s">
        <v>1023</v>
      </c>
      <c r="C21" s="11" t="s">
        <v>1015</v>
      </c>
      <c r="D21" s="11" t="s">
        <v>1015</v>
      </c>
      <c r="E21" s="11" t="s">
        <v>1008</v>
      </c>
      <c r="F21" s="13" t="n">
        <v>5</v>
      </c>
      <c r="G21" s="20" t="s">
        <v>866</v>
      </c>
      <c r="H21" s="11" t="s">
        <v>878</v>
      </c>
      <c r="I21" s="20" t="s">
        <v>866</v>
      </c>
      <c r="J21" s="20" t="s">
        <v>892</v>
      </c>
      <c r="K21" s="20" t="s">
        <v>892</v>
      </c>
      <c r="L21" s="11" t="s">
        <v>878</v>
      </c>
      <c r="M21" s="20" t="s">
        <v>866</v>
      </c>
      <c r="N21" s="20" t="s">
        <v>866</v>
      </c>
      <c r="O21" s="11" t="s">
        <v>1024</v>
      </c>
      <c r="P21" s="11" t="s">
        <v>1025</v>
      </c>
      <c r="Q21" s="11" t="s">
        <v>968</v>
      </c>
      <c r="R21" s="24" t="n">
        <v>2</v>
      </c>
      <c r="S21" s="13" t="n">
        <v>3</v>
      </c>
      <c r="T21" s="13" t="n">
        <v>2</v>
      </c>
      <c r="U21" s="13" t="n">
        <v>3</v>
      </c>
      <c r="V21" s="13" t="n">
        <v>4</v>
      </c>
      <c r="W21" s="13" t="n">
        <v>2</v>
      </c>
      <c r="X21" s="11" t="n">
        <f aca="false">ROUND((S21*'Scoring Model'!$B$5+T21*'Scoring Model'!$B$6+U21*'Scoring Model'!$B$7+V21*'Scoring Model'!$B$8+W21*'Scoring Model'!$B$9)/5*100,0)</f>
        <v>55</v>
      </c>
      <c r="Y21" s="34" t="n">
        <f aca="false">INDEX('Scoring Model'!$B$14:$B$17,MATCH(X21,'Scoring Model'!$A$14:$A$17,1))</f>
        <v>0.09</v>
      </c>
      <c r="Z21" s="35" t="n">
        <f aca="false">MOD(TIME(9,5,0)-F21/24,1)</f>
        <v>0.170138888888889</v>
      </c>
      <c r="AA21" s="11" t="str">
        <f aca="false">IF(TIME(9,5,0)-F21/24&lt;0,"previous day (ET)","same day")</f>
        <v>same day</v>
      </c>
      <c r="AB21" s="20"/>
      <c r="AC21" s="11"/>
      <c r="AD21" s="11" t="s">
        <v>919</v>
      </c>
    </row>
    <row r="22" customFormat="false" ht="23.85" hidden="false" customHeight="false" outlineLevel="0" collapsed="false">
      <c r="A22" s="11" t="n">
        <v>21</v>
      </c>
      <c r="B22" s="23" t="s">
        <v>1026</v>
      </c>
      <c r="C22" s="11" t="s">
        <v>1027</v>
      </c>
      <c r="D22" s="11" t="s">
        <v>1028</v>
      </c>
      <c r="E22" s="11" t="s">
        <v>1029</v>
      </c>
      <c r="F22" s="13" t="n">
        <v>8</v>
      </c>
      <c r="G22" s="20" t="s">
        <v>866</v>
      </c>
      <c r="H22" s="11" t="s">
        <v>878</v>
      </c>
      <c r="I22" s="20" t="s">
        <v>866</v>
      </c>
      <c r="J22" s="11" t="s">
        <v>1030</v>
      </c>
      <c r="K22" s="20" t="s">
        <v>892</v>
      </c>
      <c r="L22" s="11" t="s">
        <v>878</v>
      </c>
      <c r="M22" s="20" t="s">
        <v>866</v>
      </c>
      <c r="N22" s="20" t="s">
        <v>866</v>
      </c>
      <c r="O22" s="11" t="s">
        <v>981</v>
      </c>
      <c r="P22" s="11" t="s">
        <v>1031</v>
      </c>
      <c r="Q22" s="11" t="s">
        <v>1032</v>
      </c>
      <c r="R22" s="24" t="n">
        <v>2</v>
      </c>
      <c r="S22" s="13" t="n">
        <v>3</v>
      </c>
      <c r="T22" s="13" t="n">
        <v>3</v>
      </c>
      <c r="U22" s="13" t="n">
        <v>4</v>
      </c>
      <c r="V22" s="13" t="n">
        <v>4</v>
      </c>
      <c r="W22" s="13" t="n">
        <v>3</v>
      </c>
      <c r="X22" s="11" t="n">
        <f aca="false">ROUND((S22*'Scoring Model'!$B$5+T22*'Scoring Model'!$B$6+U22*'Scoring Model'!$B$7+V22*'Scoring Model'!$B$8+W22*'Scoring Model'!$B$9)/5*100,0)</f>
        <v>67</v>
      </c>
      <c r="Y22" s="34" t="n">
        <f aca="false">INDEX('Scoring Model'!$B$14:$B$17,MATCH(X22,'Scoring Model'!$A$14:$A$17,1))</f>
        <v>0.15</v>
      </c>
      <c r="Z22" s="35" t="n">
        <f aca="false">MOD(TIME(9,5,0)-F22/24,1)</f>
        <v>0.0451388888888889</v>
      </c>
      <c r="AA22" s="11" t="str">
        <f aca="false">IF(TIME(9,5,0)-F22/24&lt;0,"previous day (ET)","same day")</f>
        <v>same day</v>
      </c>
      <c r="AB22" s="20"/>
      <c r="AC22" s="11" t="s">
        <v>1033</v>
      </c>
      <c r="AD22" s="11" t="s">
        <v>919</v>
      </c>
    </row>
    <row r="23" customFormat="false" ht="23.85" hidden="false" customHeight="false" outlineLevel="0" collapsed="false">
      <c r="A23" s="11" t="n">
        <v>22</v>
      </c>
      <c r="B23" s="23" t="s">
        <v>1034</v>
      </c>
      <c r="C23" s="11" t="s">
        <v>1035</v>
      </c>
      <c r="D23" s="11" t="s">
        <v>899</v>
      </c>
      <c r="E23" s="11" t="s">
        <v>900</v>
      </c>
      <c r="F23" s="13" t="n">
        <v>6</v>
      </c>
      <c r="G23" s="20" t="s">
        <v>1036</v>
      </c>
      <c r="H23" s="11" t="s">
        <v>1037</v>
      </c>
      <c r="I23" s="20" t="s">
        <v>903</v>
      </c>
      <c r="J23" s="11" t="s">
        <v>1038</v>
      </c>
      <c r="K23" s="11" t="s">
        <v>1039</v>
      </c>
      <c r="L23" s="11" t="s">
        <v>878</v>
      </c>
      <c r="M23" s="20" t="s">
        <v>1040</v>
      </c>
      <c r="N23" s="20" t="s">
        <v>1040</v>
      </c>
      <c r="O23" s="11" t="s">
        <v>1041</v>
      </c>
      <c r="P23" s="11" t="s">
        <v>1042</v>
      </c>
      <c r="Q23" s="11" t="s">
        <v>1043</v>
      </c>
      <c r="R23" s="24" t="n">
        <v>2</v>
      </c>
      <c r="S23" s="13" t="n">
        <v>3</v>
      </c>
      <c r="T23" s="13" t="n">
        <v>4</v>
      </c>
      <c r="U23" s="13" t="n">
        <v>3</v>
      </c>
      <c r="V23" s="13" t="n">
        <v>4</v>
      </c>
      <c r="W23" s="13" t="n">
        <v>2</v>
      </c>
      <c r="X23" s="11" t="n">
        <f aca="false">ROUND((S23*'Scoring Model'!$B$5+T23*'Scoring Model'!$B$6+U23*'Scoring Model'!$B$7+V23*'Scoring Model'!$B$8+W23*'Scoring Model'!$B$9)/5*100,0)</f>
        <v>65</v>
      </c>
      <c r="Y23" s="34" t="n">
        <f aca="false">INDEX('Scoring Model'!$B$14:$B$17,MATCH(X23,'Scoring Model'!$A$14:$A$17,1))</f>
        <v>0.15</v>
      </c>
      <c r="Z23" s="35" t="n">
        <f aca="false">MOD(TIME(9,5,0)-F23/24,1)</f>
        <v>0.128472222222222</v>
      </c>
      <c r="AA23" s="11" t="str">
        <f aca="false">IF(TIME(9,5,0)-F23/24&lt;0,"previous day (ET)","same day")</f>
        <v>same day</v>
      </c>
      <c r="AB23" s="20"/>
      <c r="AC23" s="11"/>
      <c r="AD23" s="11" t="s">
        <v>919</v>
      </c>
    </row>
    <row r="24" customFormat="false" ht="23.85" hidden="false" customHeight="false" outlineLevel="0" collapsed="false">
      <c r="A24" s="11" t="n">
        <v>23</v>
      </c>
      <c r="B24" s="23" t="s">
        <v>1044</v>
      </c>
      <c r="C24" s="11" t="s">
        <v>899</v>
      </c>
      <c r="D24" s="11" t="s">
        <v>899</v>
      </c>
      <c r="E24" s="11" t="s">
        <v>900</v>
      </c>
      <c r="F24" s="13" t="n">
        <v>6</v>
      </c>
      <c r="G24" s="20" t="s">
        <v>1045</v>
      </c>
      <c r="H24" s="11" t="s">
        <v>878</v>
      </c>
      <c r="I24" s="20" t="s">
        <v>903</v>
      </c>
      <c r="J24" s="20" t="s">
        <v>892</v>
      </c>
      <c r="K24" s="20" t="s">
        <v>892</v>
      </c>
      <c r="L24" s="11" t="s">
        <v>878</v>
      </c>
      <c r="M24" s="20" t="s">
        <v>1040</v>
      </c>
      <c r="N24" s="20" t="s">
        <v>1040</v>
      </c>
      <c r="O24" s="11" t="s">
        <v>1046</v>
      </c>
      <c r="P24" s="11" t="s">
        <v>1047</v>
      </c>
      <c r="Q24" s="11" t="s">
        <v>1048</v>
      </c>
      <c r="R24" s="24" t="n">
        <v>2</v>
      </c>
      <c r="S24" s="13" t="n">
        <v>3</v>
      </c>
      <c r="T24" s="13" t="n">
        <v>4</v>
      </c>
      <c r="U24" s="13" t="n">
        <v>4</v>
      </c>
      <c r="V24" s="13" t="n">
        <v>4</v>
      </c>
      <c r="W24" s="13" t="n">
        <v>2</v>
      </c>
      <c r="X24" s="11" t="n">
        <f aca="false">ROUND((S24*'Scoring Model'!$B$5+T24*'Scoring Model'!$B$6+U24*'Scoring Model'!$B$7+V24*'Scoring Model'!$B$8+W24*'Scoring Model'!$B$9)/5*100,0)</f>
        <v>69</v>
      </c>
      <c r="Y24" s="34" t="n">
        <f aca="false">INDEX('Scoring Model'!$B$14:$B$17,MATCH(X24,'Scoring Model'!$A$14:$A$17,1))</f>
        <v>0.15</v>
      </c>
      <c r="Z24" s="35" t="n">
        <f aca="false">MOD(TIME(9,5,0)-F24/24,1)</f>
        <v>0.128472222222222</v>
      </c>
      <c r="AA24" s="11" t="str">
        <f aca="false">IF(TIME(9,5,0)-F24/24&lt;0,"previous day (ET)","same day")</f>
        <v>same day</v>
      </c>
      <c r="AB24" s="20"/>
      <c r="AC24" s="11" t="s">
        <v>1049</v>
      </c>
      <c r="AD24" s="11" t="s">
        <v>919</v>
      </c>
    </row>
    <row r="25" customFormat="false" ht="35.05" hidden="false" customHeight="false" outlineLevel="0" collapsed="false">
      <c r="A25" s="11" t="n">
        <v>24</v>
      </c>
      <c r="B25" s="23" t="s">
        <v>1050</v>
      </c>
      <c r="C25" s="11" t="s">
        <v>899</v>
      </c>
      <c r="D25" s="11" t="s">
        <v>899</v>
      </c>
      <c r="E25" s="11" t="s">
        <v>900</v>
      </c>
      <c r="F25" s="13" t="n">
        <v>6</v>
      </c>
      <c r="G25" s="20" t="s">
        <v>1045</v>
      </c>
      <c r="H25" s="11" t="s">
        <v>878</v>
      </c>
      <c r="I25" s="20" t="s">
        <v>903</v>
      </c>
      <c r="J25" s="20" t="s">
        <v>892</v>
      </c>
      <c r="K25" s="20" t="s">
        <v>892</v>
      </c>
      <c r="L25" s="11" t="s">
        <v>878</v>
      </c>
      <c r="M25" s="20" t="s">
        <v>1040</v>
      </c>
      <c r="N25" s="20" t="s">
        <v>1040</v>
      </c>
      <c r="O25" s="11" t="s">
        <v>1046</v>
      </c>
      <c r="P25" s="11" t="s">
        <v>1051</v>
      </c>
      <c r="Q25" s="11" t="s">
        <v>968</v>
      </c>
      <c r="R25" s="24" t="n">
        <v>2</v>
      </c>
      <c r="S25" s="13" t="n">
        <v>3</v>
      </c>
      <c r="T25" s="13" t="n">
        <v>4</v>
      </c>
      <c r="U25" s="13" t="n">
        <v>3</v>
      </c>
      <c r="V25" s="13" t="n">
        <v>4</v>
      </c>
      <c r="W25" s="13" t="n">
        <v>2</v>
      </c>
      <c r="X25" s="11" t="n">
        <f aca="false">ROUND((S25*'Scoring Model'!$B$5+T25*'Scoring Model'!$B$6+U25*'Scoring Model'!$B$7+V25*'Scoring Model'!$B$8+W25*'Scoring Model'!$B$9)/5*100,0)</f>
        <v>65</v>
      </c>
      <c r="Y25" s="34" t="n">
        <f aca="false">INDEX('Scoring Model'!$B$14:$B$17,MATCH(X25,'Scoring Model'!$A$14:$A$17,1))</f>
        <v>0.15</v>
      </c>
      <c r="Z25" s="35" t="n">
        <f aca="false">MOD(TIME(9,5,0)-F25/24,1)</f>
        <v>0.128472222222222</v>
      </c>
      <c r="AA25" s="11" t="str">
        <f aca="false">IF(TIME(9,5,0)-F25/24&lt;0,"previous day (ET)","same day")</f>
        <v>same day</v>
      </c>
      <c r="AB25" s="20"/>
      <c r="AC25" s="11"/>
      <c r="AD25" s="11" t="s">
        <v>919</v>
      </c>
    </row>
    <row r="26" customFormat="false" ht="35.05" hidden="false" customHeight="false" outlineLevel="0" collapsed="false">
      <c r="A26" s="11" t="n">
        <v>25</v>
      </c>
      <c r="B26" s="23" t="s">
        <v>1052</v>
      </c>
      <c r="C26" s="11" t="s">
        <v>1053</v>
      </c>
      <c r="D26" s="11" t="s">
        <v>1054</v>
      </c>
      <c r="E26" s="11" t="s">
        <v>900</v>
      </c>
      <c r="F26" s="13" t="n">
        <v>6</v>
      </c>
      <c r="G26" s="20" t="s">
        <v>1045</v>
      </c>
      <c r="H26" s="11" t="s">
        <v>878</v>
      </c>
      <c r="I26" s="20" t="s">
        <v>903</v>
      </c>
      <c r="J26" s="20" t="s">
        <v>892</v>
      </c>
      <c r="K26" s="20" t="s">
        <v>892</v>
      </c>
      <c r="L26" s="11" t="s">
        <v>878</v>
      </c>
      <c r="M26" s="20" t="s">
        <v>866</v>
      </c>
      <c r="N26" s="20" t="s">
        <v>866</v>
      </c>
      <c r="O26" s="11" t="s">
        <v>1055</v>
      </c>
      <c r="P26" s="11" t="s">
        <v>1056</v>
      </c>
      <c r="Q26" s="11" t="s">
        <v>968</v>
      </c>
      <c r="R26" s="24" t="n">
        <v>2</v>
      </c>
      <c r="S26" s="13" t="n">
        <v>3</v>
      </c>
      <c r="T26" s="13" t="n">
        <v>3</v>
      </c>
      <c r="U26" s="13" t="n">
        <v>3</v>
      </c>
      <c r="V26" s="13" t="n">
        <v>4</v>
      </c>
      <c r="W26" s="13" t="n">
        <v>2</v>
      </c>
      <c r="X26" s="11" t="n">
        <f aca="false">ROUND((S26*'Scoring Model'!$B$5+T26*'Scoring Model'!$B$6+U26*'Scoring Model'!$B$7+V26*'Scoring Model'!$B$8+W26*'Scoring Model'!$B$9)/5*100,0)</f>
        <v>60</v>
      </c>
      <c r="Y26" s="34" t="n">
        <f aca="false">INDEX('Scoring Model'!$B$14:$B$17,MATCH(X26,'Scoring Model'!$A$14:$A$17,1))</f>
        <v>0.09</v>
      </c>
      <c r="Z26" s="35" t="n">
        <f aca="false">MOD(TIME(9,5,0)-F26/24,1)</f>
        <v>0.128472222222222</v>
      </c>
      <c r="AA26" s="11" t="str">
        <f aca="false">IF(TIME(9,5,0)-F26/24&lt;0,"previous day (ET)","same day")</f>
        <v>same day</v>
      </c>
      <c r="AB26" s="20"/>
      <c r="AC26" s="11" t="s">
        <v>1057</v>
      </c>
      <c r="AD26" s="11" t="s">
        <v>919</v>
      </c>
    </row>
    <row r="27" customFormat="false" ht="23.85" hidden="false" customHeight="false" outlineLevel="0" collapsed="false">
      <c r="A27" s="11" t="n">
        <v>26</v>
      </c>
      <c r="B27" s="23" t="s">
        <v>1058</v>
      </c>
      <c r="C27" s="11" t="s">
        <v>1059</v>
      </c>
      <c r="D27" s="11" t="s">
        <v>892</v>
      </c>
      <c r="E27" s="11" t="s">
        <v>1060</v>
      </c>
      <c r="F27" s="13" t="n">
        <v>6</v>
      </c>
      <c r="G27" s="20" t="s">
        <v>866</v>
      </c>
      <c r="H27" s="11" t="s">
        <v>1061</v>
      </c>
      <c r="I27" s="20" t="s">
        <v>866</v>
      </c>
      <c r="J27" s="11" t="s">
        <v>1062</v>
      </c>
      <c r="K27" s="20" t="s">
        <v>892</v>
      </c>
      <c r="L27" s="11" t="s">
        <v>878</v>
      </c>
      <c r="M27" s="20" t="s">
        <v>866</v>
      </c>
      <c r="N27" s="20" t="s">
        <v>866</v>
      </c>
      <c r="O27" s="11" t="s">
        <v>1063</v>
      </c>
      <c r="P27" s="11" t="s">
        <v>1064</v>
      </c>
      <c r="Q27" s="11" t="s">
        <v>896</v>
      </c>
      <c r="R27" s="24" t="n">
        <v>2</v>
      </c>
      <c r="S27" s="13" t="n">
        <v>3</v>
      </c>
      <c r="T27" s="13" t="n">
        <v>3</v>
      </c>
      <c r="U27" s="13" t="n">
        <v>3</v>
      </c>
      <c r="V27" s="13" t="n">
        <v>4</v>
      </c>
      <c r="W27" s="13" t="n">
        <v>2</v>
      </c>
      <c r="X27" s="11" t="n">
        <f aca="false">ROUND((S27*'Scoring Model'!$B$5+T27*'Scoring Model'!$B$6+U27*'Scoring Model'!$B$7+V27*'Scoring Model'!$B$8+W27*'Scoring Model'!$B$9)/5*100,0)</f>
        <v>60</v>
      </c>
      <c r="Y27" s="34" t="n">
        <f aca="false">INDEX('Scoring Model'!$B$14:$B$17,MATCH(X27,'Scoring Model'!$A$14:$A$17,1))</f>
        <v>0.09</v>
      </c>
      <c r="Z27" s="35" t="n">
        <f aca="false">MOD(TIME(9,5,0)-F27/24,1)</f>
        <v>0.128472222222222</v>
      </c>
      <c r="AA27" s="11" t="str">
        <f aca="false">IF(TIME(9,5,0)-F27/24&lt;0,"previous day (ET)","same day")</f>
        <v>same day</v>
      </c>
      <c r="AB27" s="20"/>
      <c r="AC27" s="11" t="s">
        <v>1065</v>
      </c>
      <c r="AD27" s="11" t="s">
        <v>919</v>
      </c>
    </row>
    <row r="28" customFormat="false" ht="35.05" hidden="false" customHeight="false" outlineLevel="0" collapsed="false">
      <c r="A28" s="11" t="n">
        <v>27</v>
      </c>
      <c r="B28" s="23" t="s">
        <v>1066</v>
      </c>
      <c r="C28" s="11" t="s">
        <v>1067</v>
      </c>
      <c r="D28" s="11" t="s">
        <v>892</v>
      </c>
      <c r="E28" s="11" t="s">
        <v>892</v>
      </c>
      <c r="F28" s="13" t="n">
        <v>6</v>
      </c>
      <c r="G28" s="20" t="s">
        <v>866</v>
      </c>
      <c r="H28" s="11" t="s">
        <v>878</v>
      </c>
      <c r="I28" s="20" t="s">
        <v>866</v>
      </c>
      <c r="J28" s="20" t="s">
        <v>892</v>
      </c>
      <c r="K28" s="20" t="s">
        <v>892</v>
      </c>
      <c r="L28" s="11" t="s">
        <v>878</v>
      </c>
      <c r="M28" s="20" t="s">
        <v>866</v>
      </c>
      <c r="N28" s="20" t="s">
        <v>866</v>
      </c>
      <c r="O28" s="11" t="s">
        <v>1068</v>
      </c>
      <c r="P28" s="11" t="s">
        <v>1069</v>
      </c>
      <c r="Q28" s="11" t="s">
        <v>968</v>
      </c>
      <c r="R28" s="24" t="n">
        <v>2</v>
      </c>
      <c r="S28" s="13" t="n">
        <v>3</v>
      </c>
      <c r="T28" s="13" t="n">
        <v>3</v>
      </c>
      <c r="U28" s="13" t="n">
        <v>4</v>
      </c>
      <c r="V28" s="13" t="n">
        <v>4</v>
      </c>
      <c r="W28" s="13" t="n">
        <v>4</v>
      </c>
      <c r="X28" s="11" t="n">
        <f aca="false">ROUND((S28*'Scoring Model'!$B$5+T28*'Scoring Model'!$B$6+U28*'Scoring Model'!$B$7+V28*'Scoring Model'!$B$8+W28*'Scoring Model'!$B$9)/5*100,0)</f>
        <v>70</v>
      </c>
      <c r="Y28" s="34" t="n">
        <f aca="false">INDEX('Scoring Model'!$B$14:$B$17,MATCH(X28,'Scoring Model'!$A$14:$A$17,1))</f>
        <v>0.15</v>
      </c>
      <c r="Z28" s="35" t="n">
        <f aca="false">MOD(TIME(9,5,0)-F28/24,1)</f>
        <v>0.128472222222222</v>
      </c>
      <c r="AA28" s="11" t="str">
        <f aca="false">IF(TIME(9,5,0)-F28/24&lt;0,"previous day (ET)","same day")</f>
        <v>same day</v>
      </c>
      <c r="AB28" s="20"/>
      <c r="AC28" s="11" t="s">
        <v>1070</v>
      </c>
      <c r="AD28" s="11" t="s">
        <v>919</v>
      </c>
    </row>
    <row r="29" customFormat="false" ht="23.85" hidden="false" customHeight="false" outlineLevel="0" collapsed="false">
      <c r="A29" s="11" t="n">
        <v>28</v>
      </c>
      <c r="B29" s="23" t="s">
        <v>419</v>
      </c>
      <c r="C29" s="11" t="s">
        <v>1071</v>
      </c>
      <c r="D29" s="11" t="s">
        <v>1071</v>
      </c>
      <c r="E29" s="11" t="s">
        <v>1072</v>
      </c>
      <c r="F29" s="13" t="n">
        <v>14</v>
      </c>
      <c r="G29" s="11" t="s">
        <v>422</v>
      </c>
      <c r="H29" s="11" t="s">
        <v>411</v>
      </c>
      <c r="I29" s="20" t="s">
        <v>866</v>
      </c>
      <c r="J29" s="11" t="s">
        <v>473</v>
      </c>
      <c r="K29" s="11" t="s">
        <v>1073</v>
      </c>
      <c r="L29" s="11" t="s">
        <v>878</v>
      </c>
      <c r="M29" s="20" t="s">
        <v>866</v>
      </c>
      <c r="N29" s="20" t="s">
        <v>866</v>
      </c>
      <c r="O29" s="11" t="s">
        <v>1074</v>
      </c>
      <c r="P29" s="11" t="s">
        <v>1075</v>
      </c>
      <c r="Q29" s="11" t="s">
        <v>1076</v>
      </c>
      <c r="R29" s="24" t="n">
        <v>2</v>
      </c>
      <c r="S29" s="13" t="n">
        <v>3</v>
      </c>
      <c r="T29" s="13" t="n">
        <v>4</v>
      </c>
      <c r="U29" s="13" t="n">
        <v>3</v>
      </c>
      <c r="V29" s="13" t="n">
        <v>4</v>
      </c>
      <c r="W29" s="13" t="n">
        <v>2</v>
      </c>
      <c r="X29" s="11" t="n">
        <f aca="false">ROUND((S29*'Scoring Model'!$B$5+T29*'Scoring Model'!$B$6+U29*'Scoring Model'!$B$7+V29*'Scoring Model'!$B$8+W29*'Scoring Model'!$B$9)/5*100,0)</f>
        <v>65</v>
      </c>
      <c r="Y29" s="34" t="n">
        <f aca="false">INDEX('Scoring Model'!$B$14:$B$17,MATCH(X29,'Scoring Model'!$A$14:$A$17,1))</f>
        <v>0.15</v>
      </c>
      <c r="Z29" s="35" t="n">
        <f aca="false">MOD(TIME(9,5,0)-F29/24,1)</f>
        <v>0.795138888888866</v>
      </c>
      <c r="AA29" s="11" t="str">
        <f aca="false">IF(TIME(9,5,0)-F29/24&lt;0,"previous day (ET)","same day")</f>
        <v>previous day (ET)</v>
      </c>
      <c r="AB29" s="20"/>
      <c r="AC29" s="11" t="s">
        <v>1077</v>
      </c>
      <c r="AD29" s="11" t="s">
        <v>875</v>
      </c>
    </row>
    <row r="30" customFormat="false" ht="35.05" hidden="false" customHeight="false" outlineLevel="0" collapsed="false">
      <c r="A30" s="11" t="n">
        <v>29</v>
      </c>
      <c r="B30" s="23" t="s">
        <v>1078</v>
      </c>
      <c r="C30" s="11" t="s">
        <v>1071</v>
      </c>
      <c r="D30" s="11" t="s">
        <v>1071</v>
      </c>
      <c r="E30" s="11" t="s">
        <v>1072</v>
      </c>
      <c r="F30" s="13" t="n">
        <v>14</v>
      </c>
      <c r="G30" s="20" t="s">
        <v>866</v>
      </c>
      <c r="H30" s="11" t="s">
        <v>1079</v>
      </c>
      <c r="I30" s="20" t="s">
        <v>866</v>
      </c>
      <c r="J30" s="11" t="s">
        <v>1080</v>
      </c>
      <c r="K30" s="20" t="s">
        <v>892</v>
      </c>
      <c r="L30" s="11" t="s">
        <v>878</v>
      </c>
      <c r="M30" s="20" t="s">
        <v>866</v>
      </c>
      <c r="N30" s="20" t="s">
        <v>866</v>
      </c>
      <c r="O30" s="11" t="s">
        <v>1081</v>
      </c>
      <c r="P30" s="11" t="s">
        <v>1082</v>
      </c>
      <c r="Q30" s="11" t="s">
        <v>1083</v>
      </c>
      <c r="R30" s="24" t="n">
        <v>2</v>
      </c>
      <c r="S30" s="13" t="n">
        <v>3</v>
      </c>
      <c r="T30" s="13" t="n">
        <v>3</v>
      </c>
      <c r="U30" s="13" t="n">
        <v>3</v>
      </c>
      <c r="V30" s="13" t="n">
        <v>4</v>
      </c>
      <c r="W30" s="13" t="n">
        <v>2</v>
      </c>
      <c r="X30" s="11" t="n">
        <f aca="false">ROUND((S30*'Scoring Model'!$B$5+T30*'Scoring Model'!$B$6+U30*'Scoring Model'!$B$7+V30*'Scoring Model'!$B$8+W30*'Scoring Model'!$B$9)/5*100,0)</f>
        <v>60</v>
      </c>
      <c r="Y30" s="34" t="n">
        <f aca="false">INDEX('Scoring Model'!$B$14:$B$17,MATCH(X30,'Scoring Model'!$A$14:$A$17,1))</f>
        <v>0.09</v>
      </c>
      <c r="Z30" s="35" t="n">
        <f aca="false">MOD(TIME(9,5,0)-F30/24,1)</f>
        <v>0.795138888888866</v>
      </c>
      <c r="AA30" s="11" t="str">
        <f aca="false">IF(TIME(9,5,0)-F30/24&lt;0,"previous day (ET)","same day")</f>
        <v>previous day (ET)</v>
      </c>
      <c r="AB30" s="20"/>
      <c r="AC30" s="11" t="s">
        <v>1084</v>
      </c>
      <c r="AD30" s="11" t="s">
        <v>919</v>
      </c>
    </row>
    <row r="31" customFormat="false" ht="23.85" hidden="false" customHeight="false" outlineLevel="0" collapsed="false">
      <c r="A31" s="11" t="n">
        <v>30</v>
      </c>
      <c r="B31" s="23" t="s">
        <v>1085</v>
      </c>
      <c r="C31" s="11" t="s">
        <v>1086</v>
      </c>
      <c r="D31" s="11" t="s">
        <v>892</v>
      </c>
      <c r="E31" s="11" t="s">
        <v>1087</v>
      </c>
      <c r="F31" s="13" t="n">
        <v>7</v>
      </c>
      <c r="G31" s="20" t="s">
        <v>866</v>
      </c>
      <c r="H31" s="11" t="s">
        <v>878</v>
      </c>
      <c r="I31" s="20" t="s">
        <v>866</v>
      </c>
      <c r="J31" s="11" t="s">
        <v>1088</v>
      </c>
      <c r="K31" s="20" t="s">
        <v>892</v>
      </c>
      <c r="L31" s="11" t="s">
        <v>878</v>
      </c>
      <c r="M31" s="20" t="s">
        <v>866</v>
      </c>
      <c r="N31" s="20" t="s">
        <v>866</v>
      </c>
      <c r="O31" s="11" t="s">
        <v>1089</v>
      </c>
      <c r="P31" s="11" t="s">
        <v>1090</v>
      </c>
      <c r="Q31" s="11" t="s">
        <v>1091</v>
      </c>
      <c r="R31" s="24" t="n">
        <v>2</v>
      </c>
      <c r="S31" s="13" t="n">
        <v>4</v>
      </c>
      <c r="T31" s="13" t="n">
        <v>3</v>
      </c>
      <c r="U31" s="13" t="n">
        <v>3</v>
      </c>
      <c r="V31" s="13" t="n">
        <v>3</v>
      </c>
      <c r="W31" s="13" t="n">
        <v>2</v>
      </c>
      <c r="X31" s="11" t="n">
        <f aca="false">ROUND((S31*'Scoring Model'!$B$5+T31*'Scoring Model'!$B$6+U31*'Scoring Model'!$B$7+V31*'Scoring Model'!$B$8+W31*'Scoring Model'!$B$9)/5*100,0)</f>
        <v>62</v>
      </c>
      <c r="Y31" s="34" t="n">
        <f aca="false">INDEX('Scoring Model'!$B$14:$B$17,MATCH(X31,'Scoring Model'!$A$14:$A$17,1))</f>
        <v>0.09</v>
      </c>
      <c r="Z31" s="35" t="n">
        <f aca="false">MOD(TIME(9,5,0)-F31/24,1)</f>
        <v>0.0868055555555556</v>
      </c>
      <c r="AA31" s="11" t="str">
        <f aca="false">IF(TIME(9,5,0)-F31/24&lt;0,"previous day (ET)","same day")</f>
        <v>same day</v>
      </c>
      <c r="AB31" s="20"/>
      <c r="AC31" s="11" t="s">
        <v>1092</v>
      </c>
      <c r="AD31" s="11" t="s">
        <v>919</v>
      </c>
    </row>
    <row r="32" customFormat="false" ht="23.85" hidden="false" customHeight="false" outlineLevel="0" collapsed="false">
      <c r="A32" s="11" t="n">
        <v>31</v>
      </c>
      <c r="B32" s="36" t="s">
        <v>1093</v>
      </c>
      <c r="C32" s="11" t="s">
        <v>1015</v>
      </c>
      <c r="D32" s="11" t="s">
        <v>1015</v>
      </c>
      <c r="E32" s="11" t="s">
        <v>1008</v>
      </c>
      <c r="F32" s="13" t="n">
        <v>5</v>
      </c>
      <c r="G32" s="20" t="s">
        <v>866</v>
      </c>
      <c r="H32" s="11" t="s">
        <v>878</v>
      </c>
      <c r="I32" s="20" t="s">
        <v>866</v>
      </c>
      <c r="J32" s="11" t="s">
        <v>1094</v>
      </c>
      <c r="K32" s="20" t="s">
        <v>892</v>
      </c>
      <c r="L32" s="11" t="s">
        <v>878</v>
      </c>
      <c r="M32" s="20" t="s">
        <v>866</v>
      </c>
      <c r="N32" s="20" t="s">
        <v>866</v>
      </c>
      <c r="O32" s="11" t="s">
        <v>1024</v>
      </c>
      <c r="P32" s="11" t="s">
        <v>1095</v>
      </c>
      <c r="Q32" s="11" t="s">
        <v>1096</v>
      </c>
      <c r="R32" s="37" t="n">
        <v>3</v>
      </c>
      <c r="S32" s="13" t="n">
        <v>2</v>
      </c>
      <c r="T32" s="13" t="n">
        <v>2</v>
      </c>
      <c r="U32" s="13" t="n">
        <v>3</v>
      </c>
      <c r="V32" s="13" t="n">
        <v>4</v>
      </c>
      <c r="W32" s="13" t="n">
        <v>2</v>
      </c>
      <c r="X32" s="11" t="n">
        <f aca="false">ROUND((S32*'Scoring Model'!$B$5+T32*'Scoring Model'!$B$6+U32*'Scoring Model'!$B$7+V32*'Scoring Model'!$B$8+W32*'Scoring Model'!$B$9)/5*100,0)</f>
        <v>50</v>
      </c>
      <c r="Y32" s="34" t="n">
        <f aca="false">INDEX('Scoring Model'!$B$14:$B$17,MATCH(X32,'Scoring Model'!$A$14:$A$17,1))</f>
        <v>0.09</v>
      </c>
      <c r="Z32" s="35" t="n">
        <f aca="false">MOD(TIME(9,5,0)-F32/24,1)</f>
        <v>0.170138888888889</v>
      </c>
      <c r="AA32" s="11" t="str">
        <f aca="false">IF(TIME(9,5,0)-F32/24&lt;0,"previous day (ET)","same day")</f>
        <v>same day</v>
      </c>
      <c r="AB32" s="20"/>
      <c r="AC32" s="11"/>
      <c r="AD32" s="11" t="s">
        <v>919</v>
      </c>
    </row>
    <row r="33" customFormat="false" ht="23.85" hidden="false" customHeight="false" outlineLevel="0" collapsed="false">
      <c r="A33" s="11" t="n">
        <v>32</v>
      </c>
      <c r="B33" s="36" t="s">
        <v>1097</v>
      </c>
      <c r="C33" s="11" t="s">
        <v>1015</v>
      </c>
      <c r="D33" s="11" t="s">
        <v>1015</v>
      </c>
      <c r="E33" s="11" t="s">
        <v>1008</v>
      </c>
      <c r="F33" s="13" t="n">
        <v>5</v>
      </c>
      <c r="G33" s="20" t="s">
        <v>866</v>
      </c>
      <c r="H33" s="11" t="s">
        <v>878</v>
      </c>
      <c r="I33" s="20" t="s">
        <v>866</v>
      </c>
      <c r="J33" s="20" t="s">
        <v>892</v>
      </c>
      <c r="K33" s="20" t="s">
        <v>892</v>
      </c>
      <c r="L33" s="11" t="s">
        <v>878</v>
      </c>
      <c r="M33" s="20" t="s">
        <v>866</v>
      </c>
      <c r="N33" s="20" t="s">
        <v>866</v>
      </c>
      <c r="O33" s="11" t="s">
        <v>981</v>
      </c>
      <c r="P33" s="11" t="s">
        <v>1098</v>
      </c>
      <c r="Q33" s="11" t="s">
        <v>1099</v>
      </c>
      <c r="R33" s="37" t="n">
        <v>3</v>
      </c>
      <c r="S33" s="13" t="n">
        <v>2</v>
      </c>
      <c r="T33" s="13" t="n">
        <v>2</v>
      </c>
      <c r="U33" s="13" t="n">
        <v>3</v>
      </c>
      <c r="V33" s="13" t="n">
        <v>4</v>
      </c>
      <c r="W33" s="13" t="n">
        <v>2</v>
      </c>
      <c r="X33" s="11" t="n">
        <f aca="false">ROUND((S33*'Scoring Model'!$B$5+T33*'Scoring Model'!$B$6+U33*'Scoring Model'!$B$7+V33*'Scoring Model'!$B$8+W33*'Scoring Model'!$B$9)/5*100,0)</f>
        <v>50</v>
      </c>
      <c r="Y33" s="34" t="n">
        <f aca="false">INDEX('Scoring Model'!$B$14:$B$17,MATCH(X33,'Scoring Model'!$A$14:$A$17,1))</f>
        <v>0.09</v>
      </c>
      <c r="Z33" s="35" t="n">
        <f aca="false">MOD(TIME(9,5,0)-F33/24,1)</f>
        <v>0.170138888888889</v>
      </c>
      <c r="AA33" s="11" t="str">
        <f aca="false">IF(TIME(9,5,0)-F33/24&lt;0,"previous day (ET)","same day")</f>
        <v>same day</v>
      </c>
      <c r="AB33" s="20"/>
      <c r="AC33" s="11"/>
      <c r="AD33" s="11" t="s">
        <v>919</v>
      </c>
    </row>
    <row r="34" customFormat="false" ht="23.85" hidden="false" customHeight="false" outlineLevel="0" collapsed="false">
      <c r="A34" s="11" t="n">
        <v>33</v>
      </c>
      <c r="B34" s="36" t="s">
        <v>1100</v>
      </c>
      <c r="C34" s="11" t="s">
        <v>1101</v>
      </c>
      <c r="D34" s="11" t="s">
        <v>1015</v>
      </c>
      <c r="E34" s="11" t="s">
        <v>1008</v>
      </c>
      <c r="F34" s="13" t="n">
        <v>5</v>
      </c>
      <c r="G34" s="20" t="s">
        <v>866</v>
      </c>
      <c r="H34" s="11" t="s">
        <v>878</v>
      </c>
      <c r="I34" s="20" t="s">
        <v>866</v>
      </c>
      <c r="J34" s="20" t="s">
        <v>892</v>
      </c>
      <c r="K34" s="20" t="s">
        <v>892</v>
      </c>
      <c r="L34" s="11" t="s">
        <v>878</v>
      </c>
      <c r="M34" s="20" t="s">
        <v>866</v>
      </c>
      <c r="N34" s="20" t="s">
        <v>866</v>
      </c>
      <c r="O34" s="11" t="s">
        <v>1102</v>
      </c>
      <c r="P34" s="11" t="s">
        <v>1103</v>
      </c>
      <c r="Q34" s="11" t="s">
        <v>1104</v>
      </c>
      <c r="R34" s="37" t="n">
        <v>3</v>
      </c>
      <c r="S34" s="13" t="n">
        <v>2</v>
      </c>
      <c r="T34" s="13" t="n">
        <v>2</v>
      </c>
      <c r="U34" s="13" t="n">
        <v>3</v>
      </c>
      <c r="V34" s="13" t="n">
        <v>4</v>
      </c>
      <c r="W34" s="13" t="n">
        <v>2</v>
      </c>
      <c r="X34" s="11" t="n">
        <f aca="false">ROUND((S34*'Scoring Model'!$B$5+T34*'Scoring Model'!$B$6+U34*'Scoring Model'!$B$7+V34*'Scoring Model'!$B$8+W34*'Scoring Model'!$B$9)/5*100,0)</f>
        <v>50</v>
      </c>
      <c r="Y34" s="34" t="n">
        <f aca="false">INDEX('Scoring Model'!$B$14:$B$17,MATCH(X34,'Scoring Model'!$A$14:$A$17,1))</f>
        <v>0.09</v>
      </c>
      <c r="Z34" s="35" t="n">
        <f aca="false">MOD(TIME(9,5,0)-F34/24,1)</f>
        <v>0.170138888888889</v>
      </c>
      <c r="AA34" s="11" t="str">
        <f aca="false">IF(TIME(9,5,0)-F34/24&lt;0,"previous day (ET)","same day")</f>
        <v>same day</v>
      </c>
      <c r="AB34" s="20"/>
      <c r="AC34" s="11"/>
      <c r="AD34" s="11" t="s">
        <v>919</v>
      </c>
    </row>
    <row r="35" customFormat="false" ht="23.85" hidden="false" customHeight="false" outlineLevel="0" collapsed="false">
      <c r="A35" s="11" t="n">
        <v>34</v>
      </c>
      <c r="B35" s="36" t="s">
        <v>1105</v>
      </c>
      <c r="C35" s="11" t="s">
        <v>1106</v>
      </c>
      <c r="D35" s="11" t="s">
        <v>864</v>
      </c>
      <c r="E35" s="11" t="s">
        <v>1107</v>
      </c>
      <c r="F35" s="13" t="n">
        <v>0</v>
      </c>
      <c r="G35" s="20" t="s">
        <v>866</v>
      </c>
      <c r="H35" s="11" t="s">
        <v>878</v>
      </c>
      <c r="I35" s="20" t="s">
        <v>866</v>
      </c>
      <c r="J35" s="11" t="s">
        <v>1108</v>
      </c>
      <c r="K35" s="20" t="s">
        <v>892</v>
      </c>
      <c r="L35" s="11" t="s">
        <v>878</v>
      </c>
      <c r="M35" s="20" t="s">
        <v>866</v>
      </c>
      <c r="N35" s="20" t="s">
        <v>866</v>
      </c>
      <c r="O35" s="11" t="s">
        <v>981</v>
      </c>
      <c r="P35" s="11" t="s">
        <v>1109</v>
      </c>
      <c r="Q35" s="11" t="s">
        <v>1110</v>
      </c>
      <c r="R35" s="37" t="n">
        <v>3</v>
      </c>
      <c r="S35" s="13" t="n">
        <v>2</v>
      </c>
      <c r="T35" s="13" t="n">
        <v>3</v>
      </c>
      <c r="U35" s="13" t="n">
        <v>3</v>
      </c>
      <c r="V35" s="13" t="n">
        <v>4</v>
      </c>
      <c r="W35" s="13" t="n">
        <v>2</v>
      </c>
      <c r="X35" s="11" t="n">
        <f aca="false">ROUND((S35*'Scoring Model'!$B$5+T35*'Scoring Model'!$B$6+U35*'Scoring Model'!$B$7+V35*'Scoring Model'!$B$8+W35*'Scoring Model'!$B$9)/5*100,0)</f>
        <v>55</v>
      </c>
      <c r="Y35" s="34" t="n">
        <f aca="false">INDEX('Scoring Model'!$B$14:$B$17,MATCH(X35,'Scoring Model'!$A$14:$A$17,1))</f>
        <v>0.09</v>
      </c>
      <c r="Z35" s="35" t="n">
        <f aca="false">MOD(TIME(9,5,0)-F35/24,1)</f>
        <v>0.378472222222222</v>
      </c>
      <c r="AA35" s="11" t="str">
        <f aca="false">IF(TIME(9,5,0)-F35/24&lt;0,"previous day (ET)","same day")</f>
        <v>same day</v>
      </c>
      <c r="AB35" s="20"/>
      <c r="AC35" s="11" t="s">
        <v>1111</v>
      </c>
      <c r="AD35" s="11" t="s">
        <v>919</v>
      </c>
    </row>
    <row r="36" customFormat="false" ht="23.85" hidden="false" customHeight="false" outlineLevel="0" collapsed="false">
      <c r="A36" s="11" t="n">
        <v>35</v>
      </c>
      <c r="B36" s="36" t="s">
        <v>1112</v>
      </c>
      <c r="C36" s="11" t="s">
        <v>939</v>
      </c>
      <c r="D36" s="11" t="s">
        <v>864</v>
      </c>
      <c r="E36" s="11" t="s">
        <v>889</v>
      </c>
      <c r="F36" s="13" t="n">
        <v>-3</v>
      </c>
      <c r="G36" s="20" t="s">
        <v>866</v>
      </c>
      <c r="H36" s="11" t="s">
        <v>878</v>
      </c>
      <c r="I36" s="20" t="s">
        <v>866</v>
      </c>
      <c r="J36" s="11" t="s">
        <v>1062</v>
      </c>
      <c r="K36" s="20" t="s">
        <v>892</v>
      </c>
      <c r="L36" s="11" t="s">
        <v>878</v>
      </c>
      <c r="M36" s="20" t="s">
        <v>866</v>
      </c>
      <c r="N36" s="20" t="s">
        <v>866</v>
      </c>
      <c r="O36" s="11" t="s">
        <v>981</v>
      </c>
      <c r="P36" s="11" t="s">
        <v>1113</v>
      </c>
      <c r="Q36" s="11" t="s">
        <v>896</v>
      </c>
      <c r="R36" s="37" t="n">
        <v>3</v>
      </c>
      <c r="S36" s="13" t="n">
        <v>2</v>
      </c>
      <c r="T36" s="13" t="n">
        <v>3</v>
      </c>
      <c r="U36" s="13" t="n">
        <v>4</v>
      </c>
      <c r="V36" s="13" t="n">
        <v>4</v>
      </c>
      <c r="W36" s="13" t="n">
        <v>2</v>
      </c>
      <c r="X36" s="11" t="n">
        <f aca="false">ROUND((S36*'Scoring Model'!$B$5+T36*'Scoring Model'!$B$6+U36*'Scoring Model'!$B$7+V36*'Scoring Model'!$B$8+W36*'Scoring Model'!$B$9)/5*100,0)</f>
        <v>59</v>
      </c>
      <c r="Y36" s="34" t="n">
        <f aca="false">INDEX('Scoring Model'!$B$14:$B$17,MATCH(X36,'Scoring Model'!$A$14:$A$17,1))</f>
        <v>0.09</v>
      </c>
      <c r="Z36" s="35" t="n">
        <f aca="false">MOD(TIME(9,5,0)-F36/24,1)</f>
        <v>0.503472222222222</v>
      </c>
      <c r="AA36" s="11" t="str">
        <f aca="false">IF(TIME(9,5,0)-F36/24&lt;0,"previous day (ET)","same day")</f>
        <v>same day</v>
      </c>
      <c r="AB36" s="20"/>
      <c r="AC36" s="11"/>
      <c r="AD36" s="11" t="s">
        <v>919</v>
      </c>
    </row>
    <row r="37" customFormat="false" ht="23.85" hidden="false" customHeight="false" outlineLevel="0" collapsed="false">
      <c r="A37" s="11" t="n">
        <v>36</v>
      </c>
      <c r="B37" s="36" t="s">
        <v>1114</v>
      </c>
      <c r="C37" s="11" t="s">
        <v>939</v>
      </c>
      <c r="D37" s="11" t="s">
        <v>864</v>
      </c>
      <c r="E37" s="11" t="s">
        <v>889</v>
      </c>
      <c r="F37" s="13" t="n">
        <v>-3</v>
      </c>
      <c r="G37" s="20" t="s">
        <v>866</v>
      </c>
      <c r="H37" s="11" t="s">
        <v>878</v>
      </c>
      <c r="I37" s="20" t="s">
        <v>866</v>
      </c>
      <c r="J37" s="11" t="s">
        <v>1062</v>
      </c>
      <c r="K37" s="20" t="s">
        <v>892</v>
      </c>
      <c r="L37" s="11" t="s">
        <v>878</v>
      </c>
      <c r="M37" s="20" t="s">
        <v>866</v>
      </c>
      <c r="N37" s="20" t="s">
        <v>866</v>
      </c>
      <c r="O37" s="11" t="s">
        <v>981</v>
      </c>
      <c r="P37" s="11" t="s">
        <v>1115</v>
      </c>
      <c r="Q37" s="11" t="s">
        <v>896</v>
      </c>
      <c r="R37" s="37" t="n">
        <v>3</v>
      </c>
      <c r="S37" s="13" t="n">
        <v>2</v>
      </c>
      <c r="T37" s="13" t="n">
        <v>2</v>
      </c>
      <c r="U37" s="13" t="n">
        <v>3</v>
      </c>
      <c r="V37" s="13" t="n">
        <v>4</v>
      </c>
      <c r="W37" s="13" t="n">
        <v>2</v>
      </c>
      <c r="X37" s="11" t="n">
        <f aca="false">ROUND((S37*'Scoring Model'!$B$5+T37*'Scoring Model'!$B$6+U37*'Scoring Model'!$B$7+V37*'Scoring Model'!$B$8+W37*'Scoring Model'!$B$9)/5*100,0)</f>
        <v>50</v>
      </c>
      <c r="Y37" s="34" t="n">
        <f aca="false">INDEX('Scoring Model'!$B$14:$B$17,MATCH(X37,'Scoring Model'!$A$14:$A$17,1))</f>
        <v>0.09</v>
      </c>
      <c r="Z37" s="35" t="n">
        <f aca="false">MOD(TIME(9,5,0)-F37/24,1)</f>
        <v>0.503472222222222</v>
      </c>
      <c r="AA37" s="11" t="str">
        <f aca="false">IF(TIME(9,5,0)-F37/24&lt;0,"previous day (ET)","same day")</f>
        <v>same day</v>
      </c>
      <c r="AB37" s="20"/>
      <c r="AC37" s="11"/>
      <c r="AD37" s="11" t="s">
        <v>919</v>
      </c>
    </row>
    <row r="38" customFormat="false" ht="23.85" hidden="false" customHeight="false" outlineLevel="0" collapsed="false">
      <c r="A38" s="11" t="n">
        <v>37</v>
      </c>
      <c r="B38" s="36" t="s">
        <v>1116</v>
      </c>
      <c r="C38" s="11" t="s">
        <v>939</v>
      </c>
      <c r="D38" s="11" t="s">
        <v>864</v>
      </c>
      <c r="E38" s="11" t="s">
        <v>889</v>
      </c>
      <c r="F38" s="13" t="n">
        <v>-3</v>
      </c>
      <c r="G38" s="20" t="s">
        <v>866</v>
      </c>
      <c r="H38" s="11" t="s">
        <v>878</v>
      </c>
      <c r="I38" s="20" t="s">
        <v>866</v>
      </c>
      <c r="J38" s="11" t="s">
        <v>1062</v>
      </c>
      <c r="K38" s="20" t="s">
        <v>892</v>
      </c>
      <c r="L38" s="11" t="s">
        <v>878</v>
      </c>
      <c r="M38" s="20" t="s">
        <v>866</v>
      </c>
      <c r="N38" s="20" t="s">
        <v>866</v>
      </c>
      <c r="O38" s="11" t="s">
        <v>981</v>
      </c>
      <c r="P38" s="11" t="s">
        <v>1117</v>
      </c>
      <c r="Q38" s="11" t="s">
        <v>896</v>
      </c>
      <c r="R38" s="37" t="n">
        <v>3</v>
      </c>
      <c r="S38" s="13" t="n">
        <v>2</v>
      </c>
      <c r="T38" s="13" t="n">
        <v>2</v>
      </c>
      <c r="U38" s="13" t="n">
        <v>3</v>
      </c>
      <c r="V38" s="13" t="n">
        <v>4</v>
      </c>
      <c r="W38" s="13" t="n">
        <v>2</v>
      </c>
      <c r="X38" s="11" t="n">
        <f aca="false">ROUND((S38*'Scoring Model'!$B$5+T38*'Scoring Model'!$B$6+U38*'Scoring Model'!$B$7+V38*'Scoring Model'!$B$8+W38*'Scoring Model'!$B$9)/5*100,0)</f>
        <v>50</v>
      </c>
      <c r="Y38" s="34" t="n">
        <f aca="false">INDEX('Scoring Model'!$B$14:$B$17,MATCH(X38,'Scoring Model'!$A$14:$A$17,1))</f>
        <v>0.09</v>
      </c>
      <c r="Z38" s="35" t="n">
        <f aca="false">MOD(TIME(9,5,0)-F38/24,1)</f>
        <v>0.503472222222222</v>
      </c>
      <c r="AA38" s="11" t="str">
        <f aca="false">IF(TIME(9,5,0)-F38/24&lt;0,"previous day (ET)","same day")</f>
        <v>same day</v>
      </c>
      <c r="AB38" s="20"/>
      <c r="AC38" s="11"/>
      <c r="AD38" s="11" t="s">
        <v>919</v>
      </c>
    </row>
    <row r="39" customFormat="false" ht="23.85" hidden="false" customHeight="false" outlineLevel="0" collapsed="false">
      <c r="A39" s="11" t="n">
        <v>38</v>
      </c>
      <c r="B39" s="36" t="s">
        <v>1118</v>
      </c>
      <c r="C39" s="11" t="s">
        <v>892</v>
      </c>
      <c r="D39" s="11" t="s">
        <v>892</v>
      </c>
      <c r="E39" s="11" t="s">
        <v>892</v>
      </c>
      <c r="F39" s="13" t="n">
        <v>0</v>
      </c>
      <c r="G39" s="20" t="s">
        <v>866</v>
      </c>
      <c r="H39" s="11" t="s">
        <v>878</v>
      </c>
      <c r="I39" s="20" t="s">
        <v>866</v>
      </c>
      <c r="J39" s="11" t="s">
        <v>1062</v>
      </c>
      <c r="K39" s="20" t="s">
        <v>892</v>
      </c>
      <c r="L39" s="11" t="s">
        <v>878</v>
      </c>
      <c r="M39" s="20" t="s">
        <v>866</v>
      </c>
      <c r="N39" s="20" t="s">
        <v>866</v>
      </c>
      <c r="O39" s="11" t="s">
        <v>981</v>
      </c>
      <c r="P39" s="11" t="s">
        <v>1119</v>
      </c>
      <c r="Q39" s="11" t="s">
        <v>896</v>
      </c>
      <c r="R39" s="37" t="n">
        <v>3</v>
      </c>
      <c r="S39" s="13" t="n">
        <v>3</v>
      </c>
      <c r="T39" s="13" t="n">
        <v>2</v>
      </c>
      <c r="U39" s="13" t="n">
        <v>3</v>
      </c>
      <c r="V39" s="13" t="n">
        <v>4</v>
      </c>
      <c r="W39" s="13" t="n">
        <v>2</v>
      </c>
      <c r="X39" s="11" t="n">
        <f aca="false">ROUND((S39*'Scoring Model'!$B$5+T39*'Scoring Model'!$B$6+U39*'Scoring Model'!$B$7+V39*'Scoring Model'!$B$8+W39*'Scoring Model'!$B$9)/5*100,0)</f>
        <v>55</v>
      </c>
      <c r="Y39" s="34" t="n">
        <f aca="false">INDEX('Scoring Model'!$B$14:$B$17,MATCH(X39,'Scoring Model'!$A$14:$A$17,1))</f>
        <v>0.09</v>
      </c>
      <c r="Z39" s="35" t="n">
        <f aca="false">MOD(TIME(9,5,0)-F39/24,1)</f>
        <v>0.378472222222222</v>
      </c>
      <c r="AA39" s="11" t="str">
        <f aca="false">IF(TIME(9,5,0)-F39/24&lt;0,"previous day (ET)","same day")</f>
        <v>same day</v>
      </c>
      <c r="AB39" s="20"/>
      <c r="AC39" s="11"/>
      <c r="AD39" s="11" t="s">
        <v>919</v>
      </c>
    </row>
    <row r="40" customFormat="false" ht="23.85" hidden="false" customHeight="false" outlineLevel="0" collapsed="false">
      <c r="A40" s="11" t="n">
        <v>39</v>
      </c>
      <c r="B40" s="36" t="s">
        <v>1120</v>
      </c>
      <c r="C40" s="11" t="s">
        <v>1121</v>
      </c>
      <c r="D40" s="11" t="s">
        <v>899</v>
      </c>
      <c r="E40" s="11" t="s">
        <v>900</v>
      </c>
      <c r="F40" s="13" t="n">
        <v>6</v>
      </c>
      <c r="G40" s="20" t="s">
        <v>1122</v>
      </c>
      <c r="H40" s="11" t="s">
        <v>1123</v>
      </c>
      <c r="I40" s="20" t="s">
        <v>903</v>
      </c>
      <c r="J40" s="11" t="s">
        <v>1124</v>
      </c>
      <c r="K40" s="20" t="s">
        <v>892</v>
      </c>
      <c r="L40" s="11" t="s">
        <v>878</v>
      </c>
      <c r="M40" s="20" t="s">
        <v>1040</v>
      </c>
      <c r="N40" s="20" t="s">
        <v>1040</v>
      </c>
      <c r="O40" s="11" t="s">
        <v>1046</v>
      </c>
      <c r="P40" s="11" t="s">
        <v>1125</v>
      </c>
      <c r="Q40" s="11" t="s">
        <v>1126</v>
      </c>
      <c r="R40" s="37" t="n">
        <v>3</v>
      </c>
      <c r="S40" s="13" t="n">
        <v>2</v>
      </c>
      <c r="T40" s="13" t="n">
        <v>4</v>
      </c>
      <c r="U40" s="13" t="n">
        <v>3</v>
      </c>
      <c r="V40" s="13" t="n">
        <v>4</v>
      </c>
      <c r="W40" s="13" t="n">
        <v>2</v>
      </c>
      <c r="X40" s="11" t="n">
        <f aca="false">ROUND((S40*'Scoring Model'!$B$5+T40*'Scoring Model'!$B$6+U40*'Scoring Model'!$B$7+V40*'Scoring Model'!$B$8+W40*'Scoring Model'!$B$9)/5*100,0)</f>
        <v>60</v>
      </c>
      <c r="Y40" s="34" t="n">
        <f aca="false">INDEX('Scoring Model'!$B$14:$B$17,MATCH(X40,'Scoring Model'!$A$14:$A$17,1))</f>
        <v>0.09</v>
      </c>
      <c r="Z40" s="35" t="n">
        <f aca="false">MOD(TIME(9,5,0)-F40/24,1)</f>
        <v>0.128472222222222</v>
      </c>
      <c r="AA40" s="11" t="str">
        <f aca="false">IF(TIME(9,5,0)-F40/24&lt;0,"previous day (ET)","same day")</f>
        <v>same day</v>
      </c>
      <c r="AB40" s="20"/>
      <c r="AC40" s="11" t="s">
        <v>1127</v>
      </c>
      <c r="AD40" s="11" t="s">
        <v>919</v>
      </c>
    </row>
    <row r="41" customFormat="false" ht="23.85" hidden="false" customHeight="false" outlineLevel="0" collapsed="false">
      <c r="A41" s="11" t="n">
        <v>40</v>
      </c>
      <c r="B41" s="36" t="s">
        <v>1128</v>
      </c>
      <c r="C41" s="11" t="s">
        <v>1129</v>
      </c>
      <c r="D41" s="11" t="s">
        <v>899</v>
      </c>
      <c r="E41" s="11" t="s">
        <v>900</v>
      </c>
      <c r="F41" s="13" t="n">
        <v>6</v>
      </c>
      <c r="G41" s="20" t="s">
        <v>1045</v>
      </c>
      <c r="H41" s="11" t="s">
        <v>878</v>
      </c>
      <c r="I41" s="20" t="s">
        <v>903</v>
      </c>
      <c r="J41" s="11" t="s">
        <v>1130</v>
      </c>
      <c r="K41" s="20" t="s">
        <v>892</v>
      </c>
      <c r="L41" s="11" t="s">
        <v>878</v>
      </c>
      <c r="M41" s="20" t="s">
        <v>1040</v>
      </c>
      <c r="N41" s="20" t="s">
        <v>1040</v>
      </c>
      <c r="O41" s="11" t="s">
        <v>1046</v>
      </c>
      <c r="P41" s="11" t="s">
        <v>1131</v>
      </c>
      <c r="Q41" s="11" t="s">
        <v>1132</v>
      </c>
      <c r="R41" s="37" t="n">
        <v>3</v>
      </c>
      <c r="S41" s="13" t="n">
        <v>2</v>
      </c>
      <c r="T41" s="13" t="n">
        <v>4</v>
      </c>
      <c r="U41" s="13" t="n">
        <v>3</v>
      </c>
      <c r="V41" s="13" t="n">
        <v>4</v>
      </c>
      <c r="W41" s="13" t="n">
        <v>2</v>
      </c>
      <c r="X41" s="11" t="n">
        <f aca="false">ROUND((S41*'Scoring Model'!$B$5+T41*'Scoring Model'!$B$6+U41*'Scoring Model'!$B$7+V41*'Scoring Model'!$B$8+W41*'Scoring Model'!$B$9)/5*100,0)</f>
        <v>60</v>
      </c>
      <c r="Y41" s="34" t="n">
        <f aca="false">INDEX('Scoring Model'!$B$14:$B$17,MATCH(X41,'Scoring Model'!$A$14:$A$17,1))</f>
        <v>0.09</v>
      </c>
      <c r="Z41" s="35" t="n">
        <f aca="false">MOD(TIME(9,5,0)-F41/24,1)</f>
        <v>0.128472222222222</v>
      </c>
      <c r="AA41" s="11" t="str">
        <f aca="false">IF(TIME(9,5,0)-F41/24&lt;0,"previous day (ET)","same day")</f>
        <v>same day</v>
      </c>
      <c r="AB41" s="20"/>
      <c r="AC41" s="11" t="s">
        <v>1133</v>
      </c>
      <c r="AD41" s="11" t="s">
        <v>919</v>
      </c>
    </row>
    <row r="42" customFormat="false" ht="23.85" hidden="false" customHeight="false" outlineLevel="0" collapsed="false">
      <c r="A42" s="11" t="n">
        <v>41</v>
      </c>
      <c r="B42" s="36" t="s">
        <v>1134</v>
      </c>
      <c r="C42" s="11" t="s">
        <v>899</v>
      </c>
      <c r="D42" s="11" t="s">
        <v>899</v>
      </c>
      <c r="E42" s="11" t="s">
        <v>900</v>
      </c>
      <c r="F42" s="13" t="n">
        <v>6</v>
      </c>
      <c r="G42" s="20" t="s">
        <v>1045</v>
      </c>
      <c r="H42" s="11" t="s">
        <v>878</v>
      </c>
      <c r="I42" s="20" t="s">
        <v>903</v>
      </c>
      <c r="J42" s="11" t="s">
        <v>1135</v>
      </c>
      <c r="K42" s="20" t="s">
        <v>892</v>
      </c>
      <c r="L42" s="11" t="s">
        <v>878</v>
      </c>
      <c r="M42" s="20" t="s">
        <v>1040</v>
      </c>
      <c r="N42" s="20" t="s">
        <v>1040</v>
      </c>
      <c r="O42" s="11" t="s">
        <v>1046</v>
      </c>
      <c r="P42" s="11" t="s">
        <v>1136</v>
      </c>
      <c r="Q42" s="11" t="s">
        <v>1137</v>
      </c>
      <c r="R42" s="37" t="n">
        <v>3</v>
      </c>
      <c r="S42" s="13" t="n">
        <v>2</v>
      </c>
      <c r="T42" s="13" t="n">
        <v>4</v>
      </c>
      <c r="U42" s="13" t="n">
        <v>3</v>
      </c>
      <c r="V42" s="13" t="n">
        <v>4</v>
      </c>
      <c r="W42" s="13" t="n">
        <v>2</v>
      </c>
      <c r="X42" s="11" t="n">
        <f aca="false">ROUND((S42*'Scoring Model'!$B$5+T42*'Scoring Model'!$B$6+U42*'Scoring Model'!$B$7+V42*'Scoring Model'!$B$8+W42*'Scoring Model'!$B$9)/5*100,0)</f>
        <v>60</v>
      </c>
      <c r="Y42" s="34" t="n">
        <f aca="false">INDEX('Scoring Model'!$B$14:$B$17,MATCH(X42,'Scoring Model'!$A$14:$A$17,1))</f>
        <v>0.09</v>
      </c>
      <c r="Z42" s="35" t="n">
        <f aca="false">MOD(TIME(9,5,0)-F42/24,1)</f>
        <v>0.128472222222222</v>
      </c>
      <c r="AA42" s="11" t="str">
        <f aca="false">IF(TIME(9,5,0)-F42/24&lt;0,"previous day (ET)","same day")</f>
        <v>same day</v>
      </c>
      <c r="AB42" s="20"/>
      <c r="AC42" s="11"/>
      <c r="AD42" s="11" t="s">
        <v>919</v>
      </c>
    </row>
    <row r="43" customFormat="false" ht="23.85" hidden="false" customHeight="false" outlineLevel="0" collapsed="false">
      <c r="A43" s="11" t="n">
        <v>42</v>
      </c>
      <c r="B43" s="36" t="s">
        <v>1138</v>
      </c>
      <c r="C43" s="11" t="s">
        <v>1139</v>
      </c>
      <c r="D43" s="11" t="s">
        <v>899</v>
      </c>
      <c r="E43" s="11" t="s">
        <v>900</v>
      </c>
      <c r="F43" s="13" t="n">
        <v>6</v>
      </c>
      <c r="G43" s="20" t="s">
        <v>1045</v>
      </c>
      <c r="H43" s="11" t="s">
        <v>878</v>
      </c>
      <c r="I43" s="20" t="s">
        <v>903</v>
      </c>
      <c r="J43" s="11" t="s">
        <v>1140</v>
      </c>
      <c r="K43" s="20" t="s">
        <v>892</v>
      </c>
      <c r="L43" s="11" t="s">
        <v>878</v>
      </c>
      <c r="M43" s="20" t="s">
        <v>1040</v>
      </c>
      <c r="N43" s="20" t="s">
        <v>1040</v>
      </c>
      <c r="O43" s="11" t="s">
        <v>1046</v>
      </c>
      <c r="P43" s="11" t="s">
        <v>1141</v>
      </c>
      <c r="Q43" s="11" t="s">
        <v>1142</v>
      </c>
      <c r="R43" s="37" t="n">
        <v>3</v>
      </c>
      <c r="S43" s="13" t="n">
        <v>2</v>
      </c>
      <c r="T43" s="13" t="n">
        <v>4</v>
      </c>
      <c r="U43" s="13" t="n">
        <v>4</v>
      </c>
      <c r="V43" s="13" t="n">
        <v>4</v>
      </c>
      <c r="W43" s="13" t="n">
        <v>2</v>
      </c>
      <c r="X43" s="11" t="n">
        <f aca="false">ROUND((S43*'Scoring Model'!$B$5+T43*'Scoring Model'!$B$6+U43*'Scoring Model'!$B$7+V43*'Scoring Model'!$B$8+W43*'Scoring Model'!$B$9)/5*100,0)</f>
        <v>64</v>
      </c>
      <c r="Y43" s="34" t="n">
        <f aca="false">INDEX('Scoring Model'!$B$14:$B$17,MATCH(X43,'Scoring Model'!$A$14:$A$17,1))</f>
        <v>0.09</v>
      </c>
      <c r="Z43" s="35" t="n">
        <f aca="false">MOD(TIME(9,5,0)-F43/24,1)</f>
        <v>0.128472222222222</v>
      </c>
      <c r="AA43" s="11" t="str">
        <f aca="false">IF(TIME(9,5,0)-F43/24&lt;0,"previous day (ET)","same day")</f>
        <v>same day</v>
      </c>
      <c r="AB43" s="20"/>
      <c r="AC43" s="11" t="s">
        <v>1143</v>
      </c>
      <c r="AD43" s="11" t="s">
        <v>919</v>
      </c>
    </row>
    <row r="44" customFormat="false" ht="23.85" hidden="false" customHeight="false" outlineLevel="0" collapsed="false">
      <c r="A44" s="11" t="n">
        <v>43</v>
      </c>
      <c r="B44" s="36" t="s">
        <v>1144</v>
      </c>
      <c r="C44" s="11" t="s">
        <v>1139</v>
      </c>
      <c r="D44" s="11" t="s">
        <v>899</v>
      </c>
      <c r="E44" s="11" t="s">
        <v>900</v>
      </c>
      <c r="F44" s="13" t="n">
        <v>6</v>
      </c>
      <c r="G44" s="20" t="s">
        <v>1045</v>
      </c>
      <c r="H44" s="11" t="s">
        <v>878</v>
      </c>
      <c r="I44" s="20" t="s">
        <v>903</v>
      </c>
      <c r="J44" s="11" t="s">
        <v>1145</v>
      </c>
      <c r="K44" s="20" t="s">
        <v>892</v>
      </c>
      <c r="L44" s="11" t="s">
        <v>878</v>
      </c>
      <c r="M44" s="20" t="s">
        <v>1040</v>
      </c>
      <c r="N44" s="20" t="s">
        <v>1040</v>
      </c>
      <c r="O44" s="11" t="s">
        <v>1046</v>
      </c>
      <c r="P44" s="11" t="s">
        <v>1146</v>
      </c>
      <c r="Q44" s="11" t="s">
        <v>1147</v>
      </c>
      <c r="R44" s="37" t="n">
        <v>3</v>
      </c>
      <c r="S44" s="13" t="n">
        <v>2</v>
      </c>
      <c r="T44" s="13" t="n">
        <v>4</v>
      </c>
      <c r="U44" s="13" t="n">
        <v>3</v>
      </c>
      <c r="V44" s="13" t="n">
        <v>4</v>
      </c>
      <c r="W44" s="13" t="n">
        <v>2</v>
      </c>
      <c r="X44" s="11" t="n">
        <f aca="false">ROUND((S44*'Scoring Model'!$B$5+T44*'Scoring Model'!$B$6+U44*'Scoring Model'!$B$7+V44*'Scoring Model'!$B$8+W44*'Scoring Model'!$B$9)/5*100,0)</f>
        <v>60</v>
      </c>
      <c r="Y44" s="34" t="n">
        <f aca="false">INDEX('Scoring Model'!$B$14:$B$17,MATCH(X44,'Scoring Model'!$A$14:$A$17,1))</f>
        <v>0.09</v>
      </c>
      <c r="Z44" s="35" t="n">
        <f aca="false">MOD(TIME(9,5,0)-F44/24,1)</f>
        <v>0.128472222222222</v>
      </c>
      <c r="AA44" s="11" t="str">
        <f aca="false">IF(TIME(9,5,0)-F44/24&lt;0,"previous day (ET)","same day")</f>
        <v>same day</v>
      </c>
      <c r="AB44" s="20"/>
      <c r="AC44" s="11"/>
      <c r="AD44" s="11" t="s">
        <v>919</v>
      </c>
    </row>
    <row r="45" customFormat="false" ht="23.85" hidden="false" customHeight="false" outlineLevel="0" collapsed="false">
      <c r="A45" s="11" t="n">
        <v>44</v>
      </c>
      <c r="B45" s="36" t="s">
        <v>1148</v>
      </c>
      <c r="C45" s="11" t="s">
        <v>899</v>
      </c>
      <c r="D45" s="11" t="s">
        <v>899</v>
      </c>
      <c r="E45" s="11" t="s">
        <v>900</v>
      </c>
      <c r="F45" s="13" t="n">
        <v>6</v>
      </c>
      <c r="G45" s="20" t="s">
        <v>1045</v>
      </c>
      <c r="H45" s="11" t="s">
        <v>878</v>
      </c>
      <c r="I45" s="20" t="s">
        <v>903</v>
      </c>
      <c r="J45" s="11" t="s">
        <v>1149</v>
      </c>
      <c r="K45" s="20" t="s">
        <v>892</v>
      </c>
      <c r="L45" s="11" t="s">
        <v>878</v>
      </c>
      <c r="M45" s="20" t="s">
        <v>1040</v>
      </c>
      <c r="N45" s="20" t="s">
        <v>1040</v>
      </c>
      <c r="O45" s="11" t="s">
        <v>1046</v>
      </c>
      <c r="P45" s="11" t="s">
        <v>878</v>
      </c>
      <c r="Q45" s="11" t="s">
        <v>1150</v>
      </c>
      <c r="R45" s="37" t="n">
        <v>3</v>
      </c>
      <c r="S45" s="13" t="n">
        <v>2</v>
      </c>
      <c r="T45" s="13" t="n">
        <v>4</v>
      </c>
      <c r="U45" s="13" t="n">
        <v>3</v>
      </c>
      <c r="V45" s="13" t="n">
        <v>3</v>
      </c>
      <c r="W45" s="13" t="n">
        <v>2</v>
      </c>
      <c r="X45" s="11" t="n">
        <f aca="false">ROUND((S45*'Scoring Model'!$B$5+T45*'Scoring Model'!$B$6+U45*'Scoring Model'!$B$7+V45*'Scoring Model'!$B$8+W45*'Scoring Model'!$B$9)/5*100,0)</f>
        <v>57</v>
      </c>
      <c r="Y45" s="34" t="n">
        <f aca="false">INDEX('Scoring Model'!$B$14:$B$17,MATCH(X45,'Scoring Model'!$A$14:$A$17,1))</f>
        <v>0.09</v>
      </c>
      <c r="Z45" s="35" t="n">
        <f aca="false">MOD(TIME(9,5,0)-F45/24,1)</f>
        <v>0.128472222222222</v>
      </c>
      <c r="AA45" s="11" t="str">
        <f aca="false">IF(TIME(9,5,0)-F45/24&lt;0,"previous day (ET)","same day")</f>
        <v>same day</v>
      </c>
      <c r="AB45" s="20"/>
      <c r="AC45" s="11"/>
      <c r="AD45" s="11" t="s">
        <v>919</v>
      </c>
    </row>
    <row r="46" customFormat="false" ht="23.85" hidden="false" customHeight="false" outlineLevel="0" collapsed="false">
      <c r="A46" s="11" t="n">
        <v>45</v>
      </c>
      <c r="B46" s="36" t="s">
        <v>1151</v>
      </c>
      <c r="C46" s="11" t="s">
        <v>1071</v>
      </c>
      <c r="D46" s="11" t="s">
        <v>1071</v>
      </c>
      <c r="E46" s="11" t="s">
        <v>1072</v>
      </c>
      <c r="F46" s="13" t="n">
        <v>14</v>
      </c>
      <c r="G46" s="20" t="s">
        <v>866</v>
      </c>
      <c r="H46" s="11" t="s">
        <v>878</v>
      </c>
      <c r="I46" s="20" t="s">
        <v>866</v>
      </c>
      <c r="J46" s="11" t="s">
        <v>1152</v>
      </c>
      <c r="K46" s="20" t="s">
        <v>892</v>
      </c>
      <c r="L46" s="11" t="s">
        <v>878</v>
      </c>
      <c r="M46" s="20" t="s">
        <v>866</v>
      </c>
      <c r="N46" s="20" t="s">
        <v>866</v>
      </c>
      <c r="O46" s="11" t="s">
        <v>1153</v>
      </c>
      <c r="P46" s="11" t="s">
        <v>1154</v>
      </c>
      <c r="Q46" s="11" t="s">
        <v>1155</v>
      </c>
      <c r="R46" s="37" t="n">
        <v>3</v>
      </c>
      <c r="S46" s="13" t="n">
        <v>2</v>
      </c>
      <c r="T46" s="13" t="n">
        <v>3</v>
      </c>
      <c r="U46" s="13" t="n">
        <v>3</v>
      </c>
      <c r="V46" s="13" t="n">
        <v>4</v>
      </c>
      <c r="W46" s="13" t="n">
        <v>2</v>
      </c>
      <c r="X46" s="11" t="n">
        <f aca="false">ROUND((S46*'Scoring Model'!$B$5+T46*'Scoring Model'!$B$6+U46*'Scoring Model'!$B$7+V46*'Scoring Model'!$B$8+W46*'Scoring Model'!$B$9)/5*100,0)</f>
        <v>55</v>
      </c>
      <c r="Y46" s="34" t="n">
        <f aca="false">INDEX('Scoring Model'!$B$14:$B$17,MATCH(X46,'Scoring Model'!$A$14:$A$17,1))</f>
        <v>0.09</v>
      </c>
      <c r="Z46" s="35" t="n">
        <f aca="false">MOD(TIME(9,5,0)-F46/24,1)</f>
        <v>0.795138888888866</v>
      </c>
      <c r="AA46" s="11" t="str">
        <f aca="false">IF(TIME(9,5,0)-F46/24&lt;0,"previous day (ET)","same day")</f>
        <v>previous day (ET)</v>
      </c>
      <c r="AB46" s="20"/>
      <c r="AC46" s="11"/>
      <c r="AD46" s="11" t="s">
        <v>919</v>
      </c>
    </row>
    <row r="47" customFormat="false" ht="23.85" hidden="false" customHeight="false" outlineLevel="0" collapsed="false">
      <c r="A47" s="11" t="n">
        <v>46</v>
      </c>
      <c r="B47" s="36" t="s">
        <v>1156</v>
      </c>
      <c r="C47" s="11" t="s">
        <v>1157</v>
      </c>
      <c r="D47" s="11" t="s">
        <v>1071</v>
      </c>
      <c r="E47" s="11" t="s">
        <v>1072</v>
      </c>
      <c r="F47" s="13" t="n">
        <v>14</v>
      </c>
      <c r="G47" s="20" t="s">
        <v>866</v>
      </c>
      <c r="H47" s="11" t="s">
        <v>878</v>
      </c>
      <c r="I47" s="20" t="s">
        <v>866</v>
      </c>
      <c r="J47" s="11" t="s">
        <v>1158</v>
      </c>
      <c r="K47" s="20" t="s">
        <v>892</v>
      </c>
      <c r="L47" s="11" t="s">
        <v>878</v>
      </c>
      <c r="M47" s="20" t="s">
        <v>866</v>
      </c>
      <c r="N47" s="20" t="s">
        <v>866</v>
      </c>
      <c r="O47" s="11" t="s">
        <v>981</v>
      </c>
      <c r="P47" s="11" t="s">
        <v>878</v>
      </c>
      <c r="Q47" s="11" t="s">
        <v>1159</v>
      </c>
      <c r="R47" s="37" t="n">
        <v>3</v>
      </c>
      <c r="S47" s="13" t="n">
        <v>2</v>
      </c>
      <c r="T47" s="13" t="n">
        <v>3</v>
      </c>
      <c r="U47" s="13" t="n">
        <v>3</v>
      </c>
      <c r="V47" s="13" t="n">
        <v>4</v>
      </c>
      <c r="W47" s="13" t="n">
        <v>2</v>
      </c>
      <c r="X47" s="11" t="n">
        <f aca="false">ROUND((S47*'Scoring Model'!$B$5+T47*'Scoring Model'!$B$6+U47*'Scoring Model'!$B$7+V47*'Scoring Model'!$B$8+W47*'Scoring Model'!$B$9)/5*100,0)</f>
        <v>55</v>
      </c>
      <c r="Y47" s="34" t="n">
        <f aca="false">INDEX('Scoring Model'!$B$14:$B$17,MATCH(X47,'Scoring Model'!$A$14:$A$17,1))</f>
        <v>0.09</v>
      </c>
      <c r="Z47" s="35" t="n">
        <f aca="false">MOD(TIME(9,5,0)-F47/24,1)</f>
        <v>0.795138888888866</v>
      </c>
      <c r="AA47" s="11" t="str">
        <f aca="false">IF(TIME(9,5,0)-F47/24&lt;0,"previous day (ET)","same day")</f>
        <v>previous day (ET)</v>
      </c>
      <c r="AB47" s="20"/>
      <c r="AC47" s="11"/>
      <c r="AD47" s="11" t="s">
        <v>919</v>
      </c>
    </row>
    <row r="48" customFormat="false" ht="23.85" hidden="false" customHeight="false" outlineLevel="0" collapsed="false">
      <c r="A48" s="11" t="n">
        <v>47</v>
      </c>
      <c r="B48" s="36" t="s">
        <v>1160</v>
      </c>
      <c r="C48" s="11" t="s">
        <v>1161</v>
      </c>
      <c r="D48" s="11" t="s">
        <v>1071</v>
      </c>
      <c r="E48" s="11" t="s">
        <v>987</v>
      </c>
      <c r="F48" s="13" t="n">
        <v>14</v>
      </c>
      <c r="G48" s="20" t="s">
        <v>866</v>
      </c>
      <c r="H48" s="11" t="s">
        <v>878</v>
      </c>
      <c r="I48" s="20" t="s">
        <v>866</v>
      </c>
      <c r="J48" s="11" t="s">
        <v>1162</v>
      </c>
      <c r="K48" s="20" t="s">
        <v>892</v>
      </c>
      <c r="L48" s="11" t="s">
        <v>878</v>
      </c>
      <c r="M48" s="20" t="s">
        <v>866</v>
      </c>
      <c r="N48" s="20" t="s">
        <v>866</v>
      </c>
      <c r="O48" s="11" t="s">
        <v>1163</v>
      </c>
      <c r="P48" s="11" t="s">
        <v>1164</v>
      </c>
      <c r="Q48" s="11" t="s">
        <v>1165</v>
      </c>
      <c r="R48" s="37" t="n">
        <v>3</v>
      </c>
      <c r="S48" s="13" t="n">
        <v>2</v>
      </c>
      <c r="T48" s="13" t="n">
        <v>3</v>
      </c>
      <c r="U48" s="13" t="n">
        <v>3</v>
      </c>
      <c r="V48" s="13" t="n">
        <v>4</v>
      </c>
      <c r="W48" s="13" t="n">
        <v>2</v>
      </c>
      <c r="X48" s="11" t="n">
        <f aca="false">ROUND((S48*'Scoring Model'!$B$5+T48*'Scoring Model'!$B$6+U48*'Scoring Model'!$B$7+V48*'Scoring Model'!$B$8+W48*'Scoring Model'!$B$9)/5*100,0)</f>
        <v>55</v>
      </c>
      <c r="Y48" s="34" t="n">
        <f aca="false">INDEX('Scoring Model'!$B$14:$B$17,MATCH(X48,'Scoring Model'!$A$14:$A$17,1))</f>
        <v>0.09</v>
      </c>
      <c r="Z48" s="35" t="n">
        <f aca="false">MOD(TIME(9,5,0)-F48/24,1)</f>
        <v>0.795138888888866</v>
      </c>
      <c r="AA48" s="11" t="str">
        <f aca="false">IF(TIME(9,5,0)-F48/24&lt;0,"previous day (ET)","same day")</f>
        <v>previous day (ET)</v>
      </c>
      <c r="AB48" s="20"/>
      <c r="AC48" s="11"/>
      <c r="AD48" s="11" t="s">
        <v>919</v>
      </c>
    </row>
    <row r="49" customFormat="false" ht="23.85" hidden="false" customHeight="false" outlineLevel="0" collapsed="false">
      <c r="A49" s="11" t="n">
        <v>48</v>
      </c>
      <c r="B49" s="36" t="s">
        <v>1166</v>
      </c>
      <c r="C49" s="11" t="s">
        <v>1071</v>
      </c>
      <c r="D49" s="11" t="s">
        <v>1071</v>
      </c>
      <c r="E49" s="11" t="s">
        <v>1072</v>
      </c>
      <c r="F49" s="13" t="n">
        <v>14</v>
      </c>
      <c r="G49" s="20" t="s">
        <v>866</v>
      </c>
      <c r="H49" s="11" t="s">
        <v>878</v>
      </c>
      <c r="I49" s="20" t="s">
        <v>866</v>
      </c>
      <c r="J49" s="11" t="s">
        <v>1167</v>
      </c>
      <c r="K49" s="20" t="s">
        <v>892</v>
      </c>
      <c r="L49" s="11" t="s">
        <v>878</v>
      </c>
      <c r="M49" s="20" t="s">
        <v>866</v>
      </c>
      <c r="N49" s="20" t="s">
        <v>866</v>
      </c>
      <c r="O49" s="11" t="s">
        <v>981</v>
      </c>
      <c r="P49" s="11" t="s">
        <v>1168</v>
      </c>
      <c r="Q49" s="11" t="s">
        <v>1169</v>
      </c>
      <c r="R49" s="37" t="n">
        <v>3</v>
      </c>
      <c r="S49" s="13" t="n">
        <v>2</v>
      </c>
      <c r="T49" s="13" t="n">
        <v>3</v>
      </c>
      <c r="U49" s="13" t="n">
        <v>3</v>
      </c>
      <c r="V49" s="13" t="n">
        <v>4</v>
      </c>
      <c r="W49" s="13" t="n">
        <v>2</v>
      </c>
      <c r="X49" s="11" t="n">
        <f aca="false">ROUND((S49*'Scoring Model'!$B$5+T49*'Scoring Model'!$B$6+U49*'Scoring Model'!$B$7+V49*'Scoring Model'!$B$8+W49*'Scoring Model'!$B$9)/5*100,0)</f>
        <v>55</v>
      </c>
      <c r="Y49" s="34" t="n">
        <f aca="false">INDEX('Scoring Model'!$B$14:$B$17,MATCH(X49,'Scoring Model'!$A$14:$A$17,1))</f>
        <v>0.09</v>
      </c>
      <c r="Z49" s="35" t="n">
        <f aca="false">MOD(TIME(9,5,0)-F49/24,1)</f>
        <v>0.795138888888866</v>
      </c>
      <c r="AA49" s="11" t="str">
        <f aca="false">IF(TIME(9,5,0)-F49/24&lt;0,"previous day (ET)","same day")</f>
        <v>previous day (ET)</v>
      </c>
      <c r="AB49" s="20"/>
      <c r="AC49" s="11"/>
      <c r="AD49" s="11" t="s">
        <v>919</v>
      </c>
    </row>
    <row r="50" customFormat="false" ht="23.85" hidden="false" customHeight="false" outlineLevel="0" collapsed="false">
      <c r="A50" s="11" t="n">
        <v>49</v>
      </c>
      <c r="B50" s="36" t="s">
        <v>1170</v>
      </c>
      <c r="C50" s="11" t="s">
        <v>1171</v>
      </c>
      <c r="D50" s="11" t="s">
        <v>892</v>
      </c>
      <c r="E50" s="11" t="s">
        <v>892</v>
      </c>
      <c r="F50" s="13" t="n">
        <v>6</v>
      </c>
      <c r="G50" s="20" t="s">
        <v>866</v>
      </c>
      <c r="H50" s="11" t="s">
        <v>878</v>
      </c>
      <c r="I50" s="20" t="s">
        <v>866</v>
      </c>
      <c r="J50" s="11" t="s">
        <v>1172</v>
      </c>
      <c r="K50" s="20" t="s">
        <v>892</v>
      </c>
      <c r="L50" s="11" t="s">
        <v>1173</v>
      </c>
      <c r="M50" s="20" t="s">
        <v>866</v>
      </c>
      <c r="N50" s="20" t="s">
        <v>866</v>
      </c>
      <c r="O50" s="11" t="s">
        <v>1174</v>
      </c>
      <c r="P50" s="11" t="s">
        <v>1175</v>
      </c>
      <c r="Q50" s="11" t="s">
        <v>1176</v>
      </c>
      <c r="R50" s="37" t="n">
        <v>3</v>
      </c>
      <c r="S50" s="13" t="n">
        <v>2</v>
      </c>
      <c r="T50" s="13" t="n">
        <v>4</v>
      </c>
      <c r="U50" s="13" t="n">
        <v>4</v>
      </c>
      <c r="V50" s="13" t="n">
        <v>3</v>
      </c>
      <c r="W50" s="13" t="n">
        <v>1</v>
      </c>
      <c r="X50" s="11" t="n">
        <f aca="false">ROUND((S50*'Scoring Model'!$B$5+T50*'Scoring Model'!$B$6+U50*'Scoring Model'!$B$7+V50*'Scoring Model'!$B$8+W50*'Scoring Model'!$B$9)/5*100,0)</f>
        <v>58</v>
      </c>
      <c r="Y50" s="34" t="n">
        <f aca="false">INDEX('Scoring Model'!$B$14:$B$17,MATCH(X50,'Scoring Model'!$A$14:$A$17,1))</f>
        <v>0.09</v>
      </c>
      <c r="Z50" s="35" t="n">
        <f aca="false">MOD(TIME(9,5,0)-F50/24,1)</f>
        <v>0.128472222222222</v>
      </c>
      <c r="AA50" s="11" t="str">
        <f aca="false">IF(TIME(9,5,0)-F50/24&lt;0,"previous day (ET)","same day")</f>
        <v>same day</v>
      </c>
      <c r="AB50" s="20"/>
      <c r="AC50" s="11" t="s">
        <v>1177</v>
      </c>
      <c r="AD50" s="11" t="s">
        <v>919</v>
      </c>
    </row>
    <row r="51" customFormat="false" ht="23.85" hidden="false" customHeight="false" outlineLevel="0" collapsed="false">
      <c r="A51" s="11" t="n">
        <v>50</v>
      </c>
      <c r="B51" s="23" t="s">
        <v>1178</v>
      </c>
      <c r="C51" s="11" t="s">
        <v>980</v>
      </c>
      <c r="D51" s="11" t="s">
        <v>864</v>
      </c>
      <c r="E51" s="11" t="s">
        <v>865</v>
      </c>
      <c r="F51" s="13" t="n">
        <v>0</v>
      </c>
      <c r="G51" s="11" t="s">
        <v>1179</v>
      </c>
      <c r="H51" s="11" t="s">
        <v>878</v>
      </c>
      <c r="I51" s="20" t="s">
        <v>866</v>
      </c>
      <c r="J51" s="11" t="s">
        <v>1180</v>
      </c>
      <c r="K51" s="20" t="s">
        <v>892</v>
      </c>
      <c r="L51" s="11" t="s">
        <v>878</v>
      </c>
      <c r="M51" s="20" t="s">
        <v>866</v>
      </c>
      <c r="N51" s="20" t="s">
        <v>866</v>
      </c>
      <c r="O51" s="11" t="s">
        <v>1181</v>
      </c>
      <c r="P51" s="11" t="s">
        <v>1182</v>
      </c>
      <c r="Q51" s="11" t="s">
        <v>1183</v>
      </c>
      <c r="R51" s="24" t="n">
        <v>2</v>
      </c>
      <c r="S51" s="13" t="n">
        <v>5</v>
      </c>
      <c r="T51" s="13" t="n">
        <v>1</v>
      </c>
      <c r="U51" s="13" t="n">
        <v>2</v>
      </c>
      <c r="V51" s="13" t="n">
        <v>3</v>
      </c>
      <c r="W51" s="13" t="n">
        <v>3</v>
      </c>
      <c r="X51" s="11" t="n">
        <f aca="false">ROUND((S51*'Scoring Model'!$B$5+T51*'Scoring Model'!$B$6+U51*'Scoring Model'!$B$7+V51*'Scoring Model'!$B$8+W51*'Scoring Model'!$B$9)/5*100,0)</f>
        <v>56</v>
      </c>
      <c r="Y51" s="34" t="n">
        <f aca="false">INDEX('Scoring Model'!$B$14:$B$17,MATCH(X51,'Scoring Model'!$A$14:$A$17,1))</f>
        <v>0.09</v>
      </c>
      <c r="Z51" s="35" t="n">
        <f aca="false">MOD(TIME(9,5,0)-F51/24,1)</f>
        <v>0.378472222222222</v>
      </c>
      <c r="AA51" s="11" t="str">
        <f aca="false">IF(TIME(9,5,0)-F51/24&lt;0,"previous day (ET)","same day")</f>
        <v>same day</v>
      </c>
      <c r="AB51" s="20"/>
      <c r="AC51" s="11" t="s">
        <v>1184</v>
      </c>
      <c r="AD51" s="11" t="s">
        <v>919</v>
      </c>
    </row>
    <row r="52" customFormat="false" ht="79.85" hidden="false" customHeight="false" outlineLevel="0" collapsed="false">
      <c r="A52" s="11" t="n">
        <v>51</v>
      </c>
      <c r="B52" s="36" t="s">
        <v>1185</v>
      </c>
      <c r="C52" s="11" t="s">
        <v>1186</v>
      </c>
      <c r="D52" s="11" t="s">
        <v>1187</v>
      </c>
      <c r="E52" s="11" t="s">
        <v>1188</v>
      </c>
      <c r="F52" s="13" t="n">
        <v>0</v>
      </c>
      <c r="G52" s="11" t="s">
        <v>878</v>
      </c>
      <c r="H52" s="11" t="s">
        <v>878</v>
      </c>
      <c r="I52" s="11" t="s">
        <v>878</v>
      </c>
      <c r="J52" s="11" t="s">
        <v>1189</v>
      </c>
      <c r="K52" s="11" t="s">
        <v>878</v>
      </c>
      <c r="L52" s="11" t="s">
        <v>878</v>
      </c>
      <c r="M52" s="11" t="s">
        <v>878</v>
      </c>
      <c r="N52" s="11" t="s">
        <v>878</v>
      </c>
      <c r="O52" s="11" t="s">
        <v>1190</v>
      </c>
      <c r="P52" s="11" t="s">
        <v>1191</v>
      </c>
      <c r="Q52" s="11" t="s">
        <v>896</v>
      </c>
      <c r="R52" s="37" t="n">
        <v>3</v>
      </c>
      <c r="S52" s="13" t="n">
        <v>3</v>
      </c>
      <c r="T52" s="13" t="n">
        <v>3</v>
      </c>
      <c r="U52" s="13" t="n">
        <v>3</v>
      </c>
      <c r="V52" s="13" t="n">
        <v>3</v>
      </c>
      <c r="W52" s="13" t="n">
        <v>2</v>
      </c>
      <c r="X52" s="11" t="n">
        <f aca="false">ROUND((S52*'Scoring Model'!$B$5+T52*'Scoring Model'!$B$6+U52*'Scoring Model'!$B$7+V52*'Scoring Model'!$B$8+W52*'Scoring Model'!$B$9)/5*100,0)</f>
        <v>57</v>
      </c>
      <c r="Y52" s="34" t="n">
        <f aca="false">INDEX('Scoring Model'!$B$14:$B$17,MATCH(X52,'Scoring Model'!$A$14:$A$17,1))</f>
        <v>0.09</v>
      </c>
      <c r="Z52" s="35" t="n">
        <f aca="false">MOD(TIME(9,5,0)-F52/24,1)</f>
        <v>0.378472222222222</v>
      </c>
      <c r="AA52" s="11" t="str">
        <f aca="false">IF(TIME(9,5,0)-F52/24&lt;0,"previous day (ET)","same day")</f>
        <v>same day</v>
      </c>
      <c r="AB52" s="20"/>
      <c r="AC52" s="11" t="s">
        <v>1192</v>
      </c>
      <c r="AD52" s="11" t="s">
        <v>919</v>
      </c>
    </row>
    <row r="54" customFormat="false" ht="15" hidden="false" customHeight="false" outlineLevel="0" collapsed="false">
      <c r="B54" s="26" t="s">
        <v>1193</v>
      </c>
      <c r="Y54" s="38" t="n">
        <f aca="false">SUM(Y2:Y52)</f>
        <v>5.48</v>
      </c>
    </row>
    <row r="55" customFormat="false" ht="15" hidden="false" customHeight="false" outlineLevel="0" collapsed="false">
      <c r="B55" s="26" t="s">
        <v>1194</v>
      </c>
      <c r="R55" s="26" t="str">
        <f aca="false">COUNTIF(R2:R52,1)&amp;" / "&amp;COUNTIF(R2:R52,2)&amp;" / "&amp;COUNTIF(R2:R52,3)</f>
        <v>7 / 23 / 21</v>
      </c>
    </row>
    <row r="56" customFormat="false" ht="30" hidden="false" customHeight="true" outlineLevel="0" collapsed="false">
      <c r="B56" s="8" t="s">
        <v>1195</v>
      </c>
      <c r="C56" s="8"/>
      <c r="D56" s="8"/>
      <c r="E56" s="8"/>
      <c r="F56" s="8"/>
      <c r="G56" s="8"/>
      <c r="H56" s="8"/>
      <c r="I56" s="8"/>
      <c r="J56" s="8"/>
      <c r="K56" s="8"/>
      <c r="L56" s="8"/>
    </row>
  </sheetData>
  <autoFilter ref="A1:AD52"/>
  <mergeCells count="1">
    <mergeCell ref="B56:L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22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3" t="s">
        <v>1196</v>
      </c>
    </row>
    <row r="3" customFormat="false" ht="15" hidden="false" customHeight="false" outlineLevel="0" collapsed="false">
      <c r="A3" s="10" t="s">
        <v>1197</v>
      </c>
      <c r="B3" s="10" t="s">
        <v>1198</v>
      </c>
      <c r="C3" s="10" t="s">
        <v>1199</v>
      </c>
      <c r="D3" s="10" t="s">
        <v>1200</v>
      </c>
      <c r="E3" s="10" t="s">
        <v>1201</v>
      </c>
      <c r="F3" s="10" t="s">
        <v>31</v>
      </c>
      <c r="G3" s="10" t="s">
        <v>1202</v>
      </c>
    </row>
    <row r="4" customFormat="false" ht="35.05" hidden="false" customHeight="false" outlineLevel="0" collapsed="false">
      <c r="A4" s="11" t="s">
        <v>1203</v>
      </c>
      <c r="B4" s="11" t="s">
        <v>939</v>
      </c>
      <c r="C4" s="11" t="s">
        <v>1204</v>
      </c>
      <c r="D4" s="11" t="s">
        <v>1205</v>
      </c>
      <c r="E4" s="11" t="s">
        <v>1206</v>
      </c>
      <c r="F4" s="11" t="s">
        <v>1207</v>
      </c>
      <c r="G4" s="11" t="s">
        <v>1208</v>
      </c>
    </row>
    <row r="5" customFormat="false" ht="23.85" hidden="false" customHeight="false" outlineLevel="0" collapsed="false">
      <c r="A5" s="11" t="s">
        <v>1209</v>
      </c>
      <c r="B5" s="11" t="s">
        <v>1210</v>
      </c>
      <c r="C5" s="11" t="s">
        <v>1211</v>
      </c>
      <c r="D5" s="11" t="s">
        <v>1212</v>
      </c>
      <c r="E5" s="11" t="s">
        <v>1213</v>
      </c>
      <c r="F5" s="11" t="s">
        <v>1214</v>
      </c>
      <c r="G5" s="11" t="s">
        <v>1215</v>
      </c>
    </row>
    <row r="6" customFormat="false" ht="23.85" hidden="false" customHeight="false" outlineLevel="0" collapsed="false">
      <c r="A6" s="11" t="s">
        <v>1216</v>
      </c>
      <c r="B6" s="11" t="s">
        <v>1217</v>
      </c>
      <c r="C6" s="11" t="s">
        <v>1218</v>
      </c>
      <c r="D6" s="11" t="s">
        <v>1219</v>
      </c>
      <c r="E6" s="11" t="s">
        <v>1220</v>
      </c>
      <c r="F6" s="11" t="s">
        <v>1221</v>
      </c>
      <c r="G6" s="11" t="s">
        <v>1222</v>
      </c>
    </row>
    <row r="7" customFormat="false" ht="15" hidden="false" customHeight="false" outlineLevel="0" collapsed="false">
      <c r="A7" s="11" t="s">
        <v>1223</v>
      </c>
      <c r="B7" s="11" t="s">
        <v>1224</v>
      </c>
      <c r="C7" s="11" t="s">
        <v>1225</v>
      </c>
      <c r="D7" s="11" t="s">
        <v>1226</v>
      </c>
      <c r="E7" s="11" t="s">
        <v>1227</v>
      </c>
      <c r="F7" s="11" t="s">
        <v>1228</v>
      </c>
      <c r="G7" s="11" t="s">
        <v>306</v>
      </c>
    </row>
    <row r="8" customFormat="false" ht="23.85" hidden="false" customHeight="false" outlineLevel="0" collapsed="false">
      <c r="A8" s="11" t="s">
        <v>1229</v>
      </c>
      <c r="B8" s="11" t="s">
        <v>1230</v>
      </c>
      <c r="C8" s="11" t="s">
        <v>1231</v>
      </c>
      <c r="D8" s="11" t="s">
        <v>1232</v>
      </c>
      <c r="E8" s="11" t="s">
        <v>1233</v>
      </c>
      <c r="F8" s="11" t="s">
        <v>1234</v>
      </c>
      <c r="G8" s="11" t="s">
        <v>1235</v>
      </c>
    </row>
    <row r="9" customFormat="false" ht="15" hidden="false" customHeight="false" outlineLevel="0" collapsed="false">
      <c r="A9" s="11" t="s">
        <v>1236</v>
      </c>
      <c r="B9" s="11" t="s">
        <v>939</v>
      </c>
      <c r="C9" s="11" t="s">
        <v>1237</v>
      </c>
      <c r="D9" s="11" t="s">
        <v>1238</v>
      </c>
      <c r="E9" s="11" t="s">
        <v>1239</v>
      </c>
      <c r="F9" s="11" t="s">
        <v>1234</v>
      </c>
      <c r="G9" s="11" t="s">
        <v>896</v>
      </c>
    </row>
    <row r="10" customFormat="false" ht="23.85" hidden="false" customHeight="false" outlineLevel="0" collapsed="false">
      <c r="A10" s="11" t="s">
        <v>1240</v>
      </c>
      <c r="B10" s="11" t="s">
        <v>1241</v>
      </c>
      <c r="C10" s="11" t="s">
        <v>1242</v>
      </c>
      <c r="D10" s="11" t="s">
        <v>1243</v>
      </c>
      <c r="E10" s="11" t="s">
        <v>1244</v>
      </c>
      <c r="F10" s="11" t="s">
        <v>1234</v>
      </c>
      <c r="G10" s="11" t="s">
        <v>1245</v>
      </c>
    </row>
    <row r="11" customFormat="false" ht="23.85" hidden="false" customHeight="false" outlineLevel="0" collapsed="false">
      <c r="A11" s="11" t="s">
        <v>1246</v>
      </c>
      <c r="B11" s="11" t="s">
        <v>1247</v>
      </c>
      <c r="C11" s="11" t="s">
        <v>1248</v>
      </c>
      <c r="D11" s="11" t="s">
        <v>1249</v>
      </c>
      <c r="E11" s="11" t="s">
        <v>1250</v>
      </c>
      <c r="F11" s="11" t="s">
        <v>1251</v>
      </c>
      <c r="G11" s="11" t="s">
        <v>1235</v>
      </c>
    </row>
    <row r="12" customFormat="false" ht="15" hidden="false" customHeight="false" outlineLevel="0" collapsed="false">
      <c r="A12" s="11" t="s">
        <v>1252</v>
      </c>
      <c r="B12" s="11" t="s">
        <v>1247</v>
      </c>
      <c r="C12" s="11" t="s">
        <v>1253</v>
      </c>
      <c r="D12" s="11" t="s">
        <v>1254</v>
      </c>
      <c r="E12" s="11" t="s">
        <v>1255</v>
      </c>
      <c r="F12" s="11" t="s">
        <v>1251</v>
      </c>
      <c r="G12" s="11" t="s">
        <v>896</v>
      </c>
    </row>
    <row r="13" customFormat="false" ht="15" hidden="false" customHeight="false" outlineLevel="0" collapsed="false">
      <c r="A13" s="11" t="s">
        <v>461</v>
      </c>
      <c r="B13" s="11" t="s">
        <v>1247</v>
      </c>
      <c r="C13" s="11" t="s">
        <v>1256</v>
      </c>
      <c r="D13" s="11" t="s">
        <v>1257</v>
      </c>
      <c r="E13" s="11" t="s">
        <v>1258</v>
      </c>
      <c r="F13" s="11" t="s">
        <v>1251</v>
      </c>
      <c r="G13" s="11" t="s">
        <v>306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8"/>
    <col collapsed="false" customWidth="true" hidden="false" outlineLevel="0" max="3" min="3" style="0" width="60"/>
  </cols>
  <sheetData>
    <row r="1" customFormat="false" ht="15" hidden="false" customHeight="false" outlineLevel="0" collapsed="false">
      <c r="A1" s="3" t="s">
        <v>1259</v>
      </c>
    </row>
    <row r="2" customFormat="false" ht="30" hidden="false" customHeight="true" outlineLevel="0" collapsed="false">
      <c r="A2" s="8" t="s">
        <v>1260</v>
      </c>
      <c r="B2" s="8"/>
      <c r="C2" s="8"/>
    </row>
    <row r="4" customFormat="false" ht="15" hidden="false" customHeight="false" outlineLevel="0" collapsed="false">
      <c r="A4" s="26" t="s">
        <v>1261</v>
      </c>
    </row>
    <row r="5" customFormat="false" ht="15" hidden="false" customHeight="false" outlineLevel="0" collapsed="false">
      <c r="A5" s="11" t="s">
        <v>1262</v>
      </c>
      <c r="B5" s="39" t="n">
        <v>1000</v>
      </c>
      <c r="C5" s="11" t="s">
        <v>1263</v>
      </c>
    </row>
    <row r="6" customFormat="false" ht="15" hidden="false" customHeight="false" outlineLevel="0" collapsed="false">
      <c r="A6" s="11" t="s">
        <v>1264</v>
      </c>
      <c r="B6" s="39" t="n">
        <v>30</v>
      </c>
      <c r="C6" s="11" t="s">
        <v>1265</v>
      </c>
    </row>
    <row r="7" customFormat="false" ht="15" hidden="false" customHeight="false" outlineLevel="0" collapsed="false">
      <c r="A7" s="11" t="s">
        <v>1266</v>
      </c>
      <c r="B7" s="40" t="n">
        <v>0.2</v>
      </c>
      <c r="C7" s="11" t="s">
        <v>1267</v>
      </c>
    </row>
    <row r="8" customFormat="false" ht="15" hidden="false" customHeight="false" outlineLevel="0" collapsed="false">
      <c r="A8" s="11" t="s">
        <v>1268</v>
      </c>
      <c r="B8" s="40" t="n">
        <v>0.1</v>
      </c>
      <c r="C8" s="11" t="s">
        <v>1269</v>
      </c>
    </row>
    <row r="9" customFormat="false" ht="15" hidden="false" customHeight="false" outlineLevel="0" collapsed="false">
      <c r="A9" s="11" t="s">
        <v>1270</v>
      </c>
      <c r="B9" s="40" t="n">
        <v>0.03</v>
      </c>
      <c r="C9" s="11" t="s">
        <v>1271</v>
      </c>
    </row>
    <row r="10" customFormat="false" ht="15" hidden="false" customHeight="false" outlineLevel="0" collapsed="false">
      <c r="A10" s="11" t="s">
        <v>1272</v>
      </c>
      <c r="B10" s="41" t="n">
        <v>10</v>
      </c>
      <c r="C10" s="11" t="s">
        <v>1273</v>
      </c>
    </row>
    <row r="11" customFormat="false" ht="15" hidden="false" customHeight="false" outlineLevel="0" collapsed="false">
      <c r="A11" s="11" t="s">
        <v>1274</v>
      </c>
      <c r="B11" s="42" t="n">
        <v>0.2</v>
      </c>
      <c r="C11" s="11" t="s">
        <v>1275</v>
      </c>
    </row>
    <row r="12" customFormat="false" ht="15" hidden="false" customHeight="false" outlineLevel="0" collapsed="false">
      <c r="A12" s="11" t="s">
        <v>1276</v>
      </c>
      <c r="B12" s="42" t="n">
        <v>0.4</v>
      </c>
      <c r="C12" s="11" t="s">
        <v>1277</v>
      </c>
    </row>
    <row r="13" customFormat="false" ht="15" hidden="false" customHeight="false" outlineLevel="0" collapsed="false">
      <c r="A13" s="11" t="s">
        <v>1278</v>
      </c>
      <c r="B13" s="43" t="n">
        <v>2.5</v>
      </c>
      <c r="C13" s="11" t="s">
        <v>1273</v>
      </c>
    </row>
    <row r="14" customFormat="false" ht="15" hidden="false" customHeight="false" outlineLevel="0" collapsed="false">
      <c r="A14" s="11" t="s">
        <v>1279</v>
      </c>
      <c r="B14" s="44" t="n">
        <v>0.25</v>
      </c>
      <c r="C14" s="11" t="s">
        <v>1280</v>
      </c>
    </row>
    <row r="15" customFormat="false" ht="15" hidden="false" customHeight="false" outlineLevel="0" collapsed="false">
      <c r="A15" s="11" t="s">
        <v>1281</v>
      </c>
      <c r="B15" s="41" t="n">
        <v>20</v>
      </c>
      <c r="C15" s="11" t="s">
        <v>1273</v>
      </c>
    </row>
    <row r="16" customFormat="false" ht="15" hidden="false" customHeight="false" outlineLevel="0" collapsed="false">
      <c r="A16" s="11" t="s">
        <v>1282</v>
      </c>
      <c r="B16" s="39" t="n">
        <v>10</v>
      </c>
      <c r="C16" s="11" t="s">
        <v>1283</v>
      </c>
    </row>
    <row r="17" customFormat="false" ht="23.85" hidden="false" customHeight="false" outlineLevel="0" collapsed="false">
      <c r="A17" s="11" t="s">
        <v>1284</v>
      </c>
      <c r="B17" s="41" t="n">
        <v>0</v>
      </c>
      <c r="C17" s="11" t="s">
        <v>1285</v>
      </c>
    </row>
    <row r="18" customFormat="false" ht="15" hidden="false" customHeight="false" outlineLevel="0" collapsed="false">
      <c r="A18" s="11" t="s">
        <v>1286</v>
      </c>
      <c r="B18" s="39" t="n">
        <v>50</v>
      </c>
      <c r="C18" s="11" t="s">
        <v>1287</v>
      </c>
    </row>
    <row r="19" customFormat="false" ht="15" hidden="false" customHeight="false" outlineLevel="0" collapsed="false">
      <c r="A19" s="11" t="s">
        <v>1288</v>
      </c>
      <c r="B19" s="42" t="n">
        <v>0.3</v>
      </c>
      <c r="C19" s="11" t="s">
        <v>1289</v>
      </c>
    </row>
    <row r="20" customFormat="false" ht="15" hidden="false" customHeight="false" outlineLevel="0" collapsed="false">
      <c r="A20" s="11" t="s">
        <v>1290</v>
      </c>
      <c r="B20" s="45" t="n">
        <v>0</v>
      </c>
      <c r="C20" s="11" t="s">
        <v>1291</v>
      </c>
    </row>
    <row r="21" customFormat="false" ht="15" hidden="false" customHeight="false" outlineLevel="0" collapsed="false">
      <c r="A21" s="11" t="s">
        <v>1292</v>
      </c>
      <c r="B21" s="46" t="n">
        <v>0</v>
      </c>
      <c r="C21" s="11" t="s">
        <v>1293</v>
      </c>
    </row>
    <row r="23" customFormat="false" ht="15" hidden="false" customHeight="false" outlineLevel="0" collapsed="false">
      <c r="A23" s="26" t="s">
        <v>1294</v>
      </c>
    </row>
    <row r="24" customFormat="false" ht="15" hidden="false" customHeight="false" outlineLevel="0" collapsed="false">
      <c r="A24" s="11" t="s">
        <v>1295</v>
      </c>
      <c r="B24" s="47" t="n">
        <f aca="false">B5+B16*B18</f>
        <v>1500</v>
      </c>
    </row>
    <row r="25" customFormat="false" ht="15" hidden="false" customHeight="false" outlineLevel="0" collapsed="false">
      <c r="A25" s="11" t="s">
        <v>1296</v>
      </c>
      <c r="B25" s="47" t="n">
        <f aca="false">B24*B7</f>
        <v>300</v>
      </c>
    </row>
    <row r="26" customFormat="false" ht="15" hidden="false" customHeight="false" outlineLevel="0" collapsed="false">
      <c r="A26" s="11" t="s">
        <v>1297</v>
      </c>
      <c r="B26" s="48" t="n">
        <f aca="false">B25*B8</f>
        <v>30</v>
      </c>
    </row>
    <row r="27" customFormat="false" ht="15" hidden="false" customHeight="false" outlineLevel="0" collapsed="false">
      <c r="A27" s="11" t="s">
        <v>1298</v>
      </c>
      <c r="B27" s="49" t="n">
        <f aca="false">B26*B9</f>
        <v>0.9</v>
      </c>
    </row>
    <row r="28" customFormat="false" ht="15" hidden="false" customHeight="false" outlineLevel="0" collapsed="false">
      <c r="A28" s="11" t="s">
        <v>1299</v>
      </c>
      <c r="B28" s="50" t="n">
        <f aca="false">B27*B10*B13</f>
        <v>22.5</v>
      </c>
    </row>
    <row r="29" customFormat="false" ht="15" hidden="false" customHeight="false" outlineLevel="0" collapsed="false">
      <c r="A29" s="11" t="s">
        <v>1300</v>
      </c>
      <c r="B29" s="50" t="n">
        <f aca="false">B28*(1-B11)</f>
        <v>18</v>
      </c>
    </row>
    <row r="30" customFormat="false" ht="15" hidden="false" customHeight="false" outlineLevel="0" collapsed="false">
      <c r="A30" s="11" t="s">
        <v>1301</v>
      </c>
      <c r="B30" s="50" t="n">
        <f aca="false">B29*B12</f>
        <v>7.2</v>
      </c>
    </row>
    <row r="31" customFormat="false" ht="15" hidden="false" customHeight="false" outlineLevel="0" collapsed="false">
      <c r="A31" s="11" t="s">
        <v>1302</v>
      </c>
      <c r="B31" s="50" t="n">
        <f aca="false">B14*B15</f>
        <v>5</v>
      </c>
    </row>
    <row r="32" customFormat="false" ht="15" hidden="false" customHeight="false" outlineLevel="0" collapsed="false">
      <c r="A32" s="11" t="s">
        <v>1303</v>
      </c>
      <c r="B32" s="50" t="n">
        <f aca="false">B30-B31</f>
        <v>2.2</v>
      </c>
    </row>
    <row r="33" customFormat="false" ht="15" hidden="false" customHeight="false" outlineLevel="0" collapsed="false">
      <c r="A33" s="11" t="s">
        <v>1304</v>
      </c>
      <c r="B33" s="50" t="n">
        <f aca="false">B18*B19*B20*B21</f>
        <v>0</v>
      </c>
    </row>
    <row r="34" customFormat="false" ht="15" hidden="false" customHeight="false" outlineLevel="0" collapsed="false">
      <c r="A34" s="11" t="s">
        <v>1305</v>
      </c>
      <c r="B34" s="50" t="n">
        <f aca="false">B32+B33+B17*B12</f>
        <v>2.2</v>
      </c>
    </row>
    <row r="35" customFormat="false" ht="15" hidden="false" customHeight="false" outlineLevel="0" collapsed="false">
      <c r="A35" s="11" t="s">
        <v>1306</v>
      </c>
      <c r="B35" s="50" t="n">
        <f aca="false">B34*B16</f>
        <v>22</v>
      </c>
    </row>
    <row r="36" customFormat="false" ht="15" hidden="false" customHeight="false" outlineLevel="0" collapsed="false">
      <c r="A36" s="11" t="s">
        <v>1307</v>
      </c>
      <c r="B36" s="51" t="n">
        <f aca="false">B35*52</f>
        <v>1144</v>
      </c>
    </row>
    <row r="37" customFormat="false" ht="15" hidden="false" customHeight="false" outlineLevel="0" collapsed="false">
      <c r="A37" s="11" t="s">
        <v>1308</v>
      </c>
      <c r="B37" s="52" t="n">
        <f aca="false">IF(B26*B10*B13*(1-B11)*B12=0,0,B31/(B26*B10*B13*(1-B11)*B12))</f>
        <v>0.0208333333333333</v>
      </c>
    </row>
    <row r="38" customFormat="false" ht="15" hidden="false" customHeight="false" outlineLevel="0" collapsed="false">
      <c r="A38" s="11" t="s">
        <v>1309</v>
      </c>
      <c r="B38" s="53" t="n">
        <f aca="false">IF(B31=0,0,B34/B31)</f>
        <v>0.44</v>
      </c>
    </row>
    <row r="40" customFormat="false" ht="45" hidden="false" customHeight="true" outlineLevel="0" collapsed="false">
      <c r="A40" s="30" t="s">
        <v>1310</v>
      </c>
      <c r="B40" s="30"/>
      <c r="C40" s="30"/>
    </row>
  </sheetData>
  <mergeCells count="2">
    <mergeCell ref="A2:C2"/>
    <mergeCell ref="A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2026-09-24T22:39:24Z</dcterms:created>
  <dc:creator>openpyxl</dc:creator>
  <dc:description/>
  <dc:language>en-US</dc:language>
  <cp:lastModifiedBy/>
  <dcterms:modified xsi:type="dcterms:W3CDTF">2026-09-24T22:39:24Z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