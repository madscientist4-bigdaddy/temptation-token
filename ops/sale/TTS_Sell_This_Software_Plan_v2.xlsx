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Acquirers" sheetId="3" state="visible" r:id="rId3"/>
    <sheet xmlns:r="http://schemas.openxmlformats.org/officeDocument/2006/relationships" name="Sequence" sheetId="4" state="visible" r:id="rId4"/>
    <sheet xmlns:r="http://schemas.openxmlformats.org/officeDocument/2006/relationships" name="Scripts" sheetId="5" state="visible" r:id="rId5"/>
    <sheet xmlns:r="http://schemas.openxmlformats.org/officeDocument/2006/relationships" name="Strength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Store Plan" sheetId="8" state="visible" r:id="rId8"/>
    <sheet xmlns:r="http://schemas.openxmlformats.org/officeDocument/2006/relationships" name="Audit &amp; Liquidity" sheetId="9" state="visible" r:id="rId9"/>
    <sheet xmlns:r="http://schemas.openxmlformats.org/officeDocument/2006/relationships" name="Data Room" sheetId="10" state="visible" r:id="rId10"/>
    <sheet xmlns:r="http://schemas.openxmlformats.org/officeDocument/2006/relationships" name="Closing" sheetId="11" state="visible" r:id="rId11"/>
    <sheet xmlns:r="http://schemas.openxmlformats.org/officeDocument/2006/relationships" name="Scoring Model" sheetId="12" state="visible" r:id="rId12"/>
    <sheet xmlns:r="http://schemas.openxmlformats.org/officeDocument/2006/relationships" name="Targets" sheetId="13" state="visible" r:id="rId13"/>
    <sheet xmlns:r="http://schemas.openxmlformats.org/officeDocument/2006/relationships" name="Events &amp; Hangouts" sheetId="14" state="visible" r:id="rId14"/>
    <sheet xmlns:r="http://schemas.openxmlformats.org/officeDocument/2006/relationships" name="Agency EV Calculator" sheetId="15" state="visible" r:id="rId15"/>
  </sheets>
  <definedNames>
    <definedName name="_xlnm._FilterDatabase" localSheetId="1" hidden="1">'Plan'!$A$1:$K$76</definedName>
    <definedName name="_xlnm._FilterDatabase" localSheetId="2" hidden="1">'Acquirers'!$A$1:$S$14</definedName>
    <definedName name="_xlnm._FilterDatabase" localSheetId="3" hidden="1">'Sequence'!$A$1:$I$49</definedName>
    <definedName name="_xlnm._FilterDatabase" localSheetId="12" hidden="1">'Targets'!$A$1:$AD$52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1">
    <numFmt numFmtId="164" formatCode="mmm\ d&quot;, &quot;yyyy"/>
    <numFmt numFmtId="165" formatCode="ddd\ mmm\ d"/>
    <numFmt numFmtId="166" formatCode="mmm\ d"/>
    <numFmt numFmtId="167" formatCode="0.0\x"/>
    <numFmt numFmtId="168" formatCode="hh:mm"/>
    <numFmt numFmtId="169" formatCode="0.0"/>
    <numFmt numFmtId="170" formatCode="0.0%"/>
    <numFmt numFmtId="171" formatCode="\$#,##0.00"/>
    <numFmt numFmtId="172" formatCode="\$#,##0.0000"/>
    <numFmt numFmtId="173" formatCode="#,##0.0"/>
    <numFmt numFmtId="174" formatCode="\$#,##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b val="1"/>
    </font>
    <font>
      <b val="1"/>
      <color rgb="009C0006"/>
    </font>
    <font>
      <strike val="1"/>
      <color rgb="009C0006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" fontId="5" fillId="0" borderId="1" applyAlignment="1" pivotButton="0" quotePrefix="0" xfId="0">
      <alignment horizontal="general" vertical="bottom"/>
    </xf>
    <xf numFmtId="9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66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5" fontId="5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166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166" fontId="5" fillId="4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166" fontId="5" fillId="6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9" fontId="0" fillId="0" borderId="0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top" wrapText="1"/>
    </xf>
    <xf numFmtId="9" fontId="5" fillId="0" borderId="1" applyAlignment="1" pivotButton="0" quotePrefix="0" xfId="0">
      <alignment horizontal="general" vertical="top" wrapText="1"/>
    </xf>
    <xf numFmtId="168" fontId="5" fillId="0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169" fontId="9" fillId="0" borderId="0" applyAlignment="1" pivotButton="0" quotePrefix="0" xfId="0">
      <alignment horizontal="general" vertical="bottom"/>
    </xf>
    <xf numFmtId="1" fontId="8" fillId="5" borderId="1" applyAlignment="1" pivotButton="0" quotePrefix="0" xfId="0">
      <alignment horizontal="general" vertical="top" wrapText="1"/>
    </xf>
    <xf numFmtId="170" fontId="8" fillId="5" borderId="1" applyAlignment="1" pivotButton="0" quotePrefix="0" xfId="0">
      <alignment horizontal="general" vertical="top" wrapText="1"/>
    </xf>
    <xf numFmtId="171" fontId="8" fillId="5" borderId="1" applyAlignment="1" pivotButton="0" quotePrefix="0" xfId="0">
      <alignment horizontal="general" vertical="top" wrapText="1"/>
    </xf>
    <xf numFmtId="9" fontId="8" fillId="5" borderId="1" applyAlignment="1" pivotButton="0" quotePrefix="0" xfId="0">
      <alignment horizontal="general" vertical="top" wrapText="1"/>
    </xf>
    <xf numFmtId="169" fontId="8" fillId="5" borderId="1" applyAlignment="1" pivotButton="0" quotePrefix="0" xfId="0">
      <alignment horizontal="general" vertical="top" wrapText="1"/>
    </xf>
    <xf numFmtId="2" fontId="8" fillId="5" borderId="1" applyAlignment="1" pivotButton="0" quotePrefix="0" xfId="0">
      <alignment horizontal="general" vertical="top" wrapText="1"/>
    </xf>
    <xf numFmtId="3" fontId="8" fillId="5" borderId="1" applyAlignment="1" pivotButton="0" quotePrefix="0" xfId="0">
      <alignment horizontal="general" vertical="top" wrapText="1"/>
    </xf>
    <xf numFmtId="172" fontId="8" fillId="5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173" fontId="5" fillId="0" borderId="1" applyAlignment="1" pivotButton="0" quotePrefix="0" xfId="0">
      <alignment horizontal="general" vertical="top" wrapText="1"/>
    </xf>
    <xf numFmtId="4" fontId="5" fillId="0" borderId="1" applyAlignment="1" pivotButton="0" quotePrefix="0" xfId="0">
      <alignment horizontal="general" vertical="top" wrapText="1"/>
    </xf>
    <xf numFmtId="171" fontId="5" fillId="0" borderId="1" applyAlignment="1" pivotButton="0" quotePrefix="0" xfId="0">
      <alignment horizontal="general" vertical="top" wrapText="1"/>
    </xf>
    <xf numFmtId="174" fontId="5" fillId="0" borderId="1" applyAlignment="1" pivotButton="0" quotePrefix="0" xfId="0">
      <alignment horizontal="general" vertical="top" wrapText="1"/>
    </xf>
    <xf numFmtId="10" fontId="5" fillId="0" borderId="1" applyAlignment="1" pivotButton="0" quotePrefix="0" xfId="0">
      <alignment horizontal="general" vertical="top" wrapText="1"/>
    </xf>
    <xf numFmtId="167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" fontId="5" fillId="0" borderId="1" applyAlignment="1" pivotButton="0" quotePrefix="0" xfId="0">
      <alignment horizontal="general" vertical="bottom"/>
    </xf>
    <xf numFmtId="9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66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5" fontId="5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166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166" fontId="5" fillId="4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166" fontId="5" fillId="6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9" fontId="0" fillId="0" borderId="0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top" wrapText="1"/>
    </xf>
    <xf numFmtId="9" fontId="5" fillId="0" borderId="1" applyAlignment="1" pivotButton="0" quotePrefix="0" xfId="0">
      <alignment horizontal="general" vertical="top" wrapText="1"/>
    </xf>
    <xf numFmtId="168" fontId="5" fillId="0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169" fontId="9" fillId="0" borderId="0" applyAlignment="1" pivotButton="0" quotePrefix="0" xfId="0">
      <alignment horizontal="general" vertical="bottom"/>
    </xf>
    <xf numFmtId="1" fontId="8" fillId="5" borderId="1" applyAlignment="1" pivotButton="0" quotePrefix="0" xfId="0">
      <alignment horizontal="general" vertical="top" wrapText="1"/>
    </xf>
    <xf numFmtId="170" fontId="8" fillId="5" borderId="1" applyAlignment="1" pivotButton="0" quotePrefix="0" xfId="0">
      <alignment horizontal="general" vertical="top" wrapText="1"/>
    </xf>
    <xf numFmtId="171" fontId="8" fillId="5" borderId="1" applyAlignment="1" pivotButton="0" quotePrefix="0" xfId="0">
      <alignment horizontal="general" vertical="top" wrapText="1"/>
    </xf>
    <xf numFmtId="9" fontId="8" fillId="5" borderId="1" applyAlignment="1" pivotButton="0" quotePrefix="0" xfId="0">
      <alignment horizontal="general" vertical="top" wrapText="1"/>
    </xf>
    <xf numFmtId="169" fontId="8" fillId="5" borderId="1" applyAlignment="1" pivotButton="0" quotePrefix="0" xfId="0">
      <alignment horizontal="general" vertical="top" wrapText="1"/>
    </xf>
    <xf numFmtId="2" fontId="8" fillId="5" borderId="1" applyAlignment="1" pivotButton="0" quotePrefix="0" xfId="0">
      <alignment horizontal="general" vertical="top" wrapText="1"/>
    </xf>
    <xf numFmtId="3" fontId="8" fillId="5" borderId="1" applyAlignment="1" pivotButton="0" quotePrefix="0" xfId="0">
      <alignment horizontal="general" vertical="top" wrapText="1"/>
    </xf>
    <xf numFmtId="172" fontId="8" fillId="5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173" fontId="5" fillId="0" borderId="1" applyAlignment="1" pivotButton="0" quotePrefix="0" xfId="0">
      <alignment horizontal="general" vertical="top" wrapText="1"/>
    </xf>
    <xf numFmtId="4" fontId="5" fillId="0" borderId="1" applyAlignment="1" pivotButton="0" quotePrefix="0" xfId="0">
      <alignment horizontal="general" vertical="top" wrapText="1"/>
    </xf>
    <xf numFmtId="171" fontId="5" fillId="0" borderId="1" applyAlignment="1" pivotButton="0" quotePrefix="0" xfId="0">
      <alignment horizontal="general" vertical="top" wrapText="1"/>
    </xf>
    <xf numFmtId="174" fontId="5" fillId="0" borderId="1" applyAlignment="1" pivotButton="0" quotePrefix="0" xfId="0">
      <alignment horizontal="general" vertical="top" wrapText="1"/>
    </xf>
    <xf numFmtId="10" fontId="5" fillId="0" borderId="1" applyAlignment="1" pivotButton="0" quotePrefix="0" xfId="0">
      <alignment horizontal="general" vertical="top" wrapText="1"/>
    </xf>
    <xf numFmtId="167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54" min="1" max="1"/>
    <col width="22" customWidth="1" style="54" min="2" max="2"/>
    <col width="40" customWidth="1" style="54" min="3" max="4"/>
  </cols>
  <sheetData>
    <row r="1" ht="17.35" customHeight="1" s="55">
      <c r="A1" s="56" t="inlineStr">
        <is>
          <t>Temptation Token — Sell This Software Plan v2 (Sept 25, 2026)</t>
        </is>
      </c>
    </row>
    <row r="2" ht="46.25" customHeight="1" s="55">
      <c r="A2" s="57" t="inlineStr">
        <is>
          <t>Built on the Sept 19 agency workbook. Every Sept 19 tab is kept (Targets, Scoring Model, Events, EV Calculator); the sale-plan tabs are new. Sender identity for all TTS correspondence: jim@temptationtoken.io.</t>
        </is>
      </c>
    </row>
    <row r="4" ht="15" customHeight="1" s="55">
      <c r="A4" s="58" t="inlineStr">
        <is>
          <t>DASHBOARD</t>
        </is>
      </c>
    </row>
    <row r="5" ht="15" customHeight="1" s="55">
      <c r="A5" s="59" t="inlineStr">
        <is>
          <t>Offer review date</t>
        </is>
      </c>
      <c r="B5" s="60">
        <f>DATE(2026,10,16)</f>
        <v/>
      </c>
    </row>
    <row r="6" ht="15" customHeight="1" s="55">
      <c r="A6" s="59" t="inlineStr">
        <is>
          <t>Days until offer review</t>
        </is>
      </c>
      <c r="B6" s="61">
        <f>MAX(0,B5-TODAY())</f>
        <v/>
      </c>
    </row>
    <row r="7" ht="15" customHeight="1" s="55">
      <c r="A7" s="59" t="inlineStr">
        <is>
          <t>Plan tasks</t>
        </is>
      </c>
      <c r="B7" s="61">
        <f>COUNTA(Plan!A2:A200)</f>
        <v/>
      </c>
    </row>
    <row r="8" ht="15" customHeight="1" s="55">
      <c r="A8" s="59" t="inlineStr">
        <is>
          <t>Plan tasks marked Done</t>
        </is>
      </c>
      <c r="B8" s="61">
        <f>COUNTIF(Plan!I2:I200,"Done")</f>
        <v/>
      </c>
    </row>
    <row r="9" ht="15" customHeight="1" s="55">
      <c r="A9" s="59" t="inlineStr">
        <is>
          <t>Plan completion</t>
        </is>
      </c>
      <c r="B9" s="62">
        <f>IF(B7=0,0,B8/B7)</f>
        <v/>
      </c>
    </row>
    <row r="10" ht="15" customHeight="1" s="55">
      <c r="A10" s="59" t="inlineStr">
        <is>
          <t>Acquirers on the list</t>
        </is>
      </c>
      <c r="B10" s="61">
        <f>COUNTIF(Acquirers!A2:A100,"A*")</f>
        <v/>
      </c>
    </row>
    <row r="11" ht="15" customHeight="1" s="55">
      <c r="A11" s="59" t="inlineStr">
        <is>
          <t>Acquirers with a meeting booked or later</t>
        </is>
      </c>
      <c r="B11" s="61">
        <f>COUNTIF(Acquirers!Q2:Q100,"Meeting*")+COUNTIF(Acquirers!Q2:Q100,"NDA*")+COUNTIF(Acquirers!Q2:Q100,"Offer*")</f>
        <v/>
      </c>
    </row>
    <row r="12" ht="15" customHeight="1" s="55">
      <c r="A12" s="59" t="inlineStr">
        <is>
          <t>Agencies on the Sept 19 target list</t>
        </is>
      </c>
      <c r="B12" s="61">
        <f>COUNT(Targets!A2:A200)</f>
        <v/>
      </c>
    </row>
    <row r="14" ht="15" customHeight="1" s="55">
      <c r="A14" s="57" t="n"/>
    </row>
    <row r="15" ht="15" customHeight="1" s="55">
      <c r="A15" s="63" t="inlineStr">
        <is>
          <t>HOW THE AUTOMATION WORKS</t>
        </is>
      </c>
    </row>
    <row r="16" ht="30" customHeight="1" s="55">
      <c r="A16" s="57" t="inlineStr">
        <is>
          <t>1. Plan tab = the master schedule (ET). The same tasks are in TTS_Sale_Plan_Proton.ics (import into Proton Calendar) and tasks.json (feeds the 7:00 AM daily email).</t>
        </is>
      </c>
    </row>
    <row r="17" ht="30" customHeight="1" s="55">
      <c r="A17" s="57" t="inlineStr">
        <is>
          <t>2. Daily email: tts_daily_digest.py runs on your Mac every morning at 7:00 AM ET through Proton Mail Bridge and sends today's tasks + tomorrow's preview + live numbers.</t>
        </is>
      </c>
    </row>
    <row r="18" ht="15" customHeight="1" s="55">
      <c r="A18" s="57" t="inlineStr">
        <is>
          <t>3. Status column (Plan, Acquirers): pick from the dropdown. The dashboard above counts it.</t>
        </is>
      </c>
    </row>
    <row r="19" ht="30" customHeight="1" s="55">
      <c r="A19" s="57" t="inlineStr">
        <is>
          <t>4. Owners: Jim = only you can do it. Jim + Mike = both signatures. Claude Code = runs on your Mac from the sprint prompt. Auto = scheduled, nothing to do.</t>
        </is>
      </c>
    </row>
    <row r="20" ht="15" customHeight="1" s="55">
      <c r="A20" s="57" t="n"/>
    </row>
    <row r="21" ht="15" customHeight="1" s="55">
      <c r="A21" s="63" t="inlineStr">
        <is>
          <t>LEGEND</t>
        </is>
      </c>
    </row>
    <row r="22" ht="30" customHeight="1" s="55">
      <c r="A22" s="57" t="inlineStr">
        <is>
          <t>Blue text = inputs you can change. Black = formulas or fixed text. Yellow fill = verify or fill in. Orange rows on Plan = launch day and offer day.</t>
        </is>
      </c>
    </row>
    <row r="23" ht="15" customHeight="1" s="55">
      <c r="A23" s="57" t="n"/>
    </row>
    <row r="24" ht="15" customHeight="1" s="55">
      <c r="A24" s="63" t="inlineStr">
        <is>
          <t>CONTACT RULES (kept from Sept 19)</t>
        </is>
      </c>
    </row>
    <row r="25" ht="45" customHeight="1" s="55">
      <c r="A25" s="57" t="inlineStr">
        <is>
          <t>Only business contacts from public sources are listed. 'Not published' means no public source was found — the Other routes column gives the legitimate way in (forms, LinkedIn, Impressum, Companies House, state registries). No personal numbers or home addresses, by design.</t>
        </is>
      </c>
    </row>
    <row r="26" ht="30" customHeight="1" s="55">
      <c r="A26" s="57" t="inlineStr">
        <is>
          <t>Canada (ManyVids): no cold email under CASL — LinkedIn or phone only. UK/EU: B2B email with a clear identity and opt-out. US: CAN-SPAM footer with the LLC postal address.</t>
        </is>
      </c>
    </row>
    <row r="27" ht="15" customHeight="1" s="55">
      <c r="A27" s="57" t="n"/>
    </row>
    <row r="28" ht="15" customHeight="1" s="55">
      <c r="A28" s="63" t="inlineStr">
        <is>
          <t>WHAT CHANGED IN V2 (SEPT 25)</t>
        </is>
      </c>
    </row>
    <row r="29" ht="45" customHeight="1" s="55">
      <c r="A29" s="57" t="inlineStr">
        <is>
          <t>Corrected against the overnight onchain verification: the token is immutable (not a proxy), supply is governed by the 2-of-2 Safe, no blacklist is possible, the timelock is a closing-day option rather than executed, and there is no paid audit before an offer. New tasks T66-T75 (WordPress fixes, Bridge password, footer address, audit-finding map, LINK recovery, replacement-cost sheet, traction push, scanner update, walk-away price). Email 1 and the Strengths, Audit &amp; Liquidity, Data Room and Closing tabs were rewritten to match.</t>
        </is>
      </c>
    </row>
    <row r="30" ht="15" customHeight="1" s="55">
      <c r="A30" s="57" t="n"/>
    </row>
    <row r="31" ht="15" customHeight="1" s="55">
      <c r="A31" s="63" t="inlineStr">
        <is>
          <t>WHAT CHANGED SINCE SEPT 19</t>
        </is>
      </c>
    </row>
    <row r="32" ht="45" customHeight="1" s="55">
      <c r="A32" s="57" t="inlineStr">
        <is>
          <t>New tabs: Plan, Acquirers, Sequence, Scripts, Strengths, Platforms, Store Plan, Audit &amp; Liquidity, Data Room, Closing. The old Send Schedule tab is replaced by Plan (sale mode). The Targets tab keeps all agencies for weekly enlistment — every enrolled agency is demand evidence for the sale.</t>
        </is>
      </c>
    </row>
  </sheetData>
  <mergeCells count="19">
    <mergeCell ref="A17:D17"/>
    <mergeCell ref="A23:D23"/>
    <mergeCell ref="A22:D22"/>
    <mergeCell ref="A20:D20"/>
    <mergeCell ref="A29:D29"/>
    <mergeCell ref="A19:D19"/>
    <mergeCell ref="A28:D28"/>
    <mergeCell ref="A31:D31"/>
    <mergeCell ref="A30:D30"/>
    <mergeCell ref="A15:D15"/>
    <mergeCell ref="A24:D24"/>
    <mergeCell ref="A25:D25"/>
    <mergeCell ref="A16:D16"/>
    <mergeCell ref="A18:D18"/>
    <mergeCell ref="A27:D27"/>
    <mergeCell ref="A26:D26"/>
    <mergeCell ref="A21:D21"/>
    <mergeCell ref="A32:D3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54" min="1" max="1"/>
    <col width="12" customWidth="1" style="54" min="2" max="2"/>
    <col width="6" customWidth="1" style="54" min="3" max="3"/>
    <col width="9" customWidth="1" style="54" min="4" max="4"/>
    <col width="12" customWidth="1" style="54" min="5" max="5"/>
    <col width="11" customWidth="1" style="54" min="6" max="6"/>
    <col width="44" customWidth="1" style="54" min="7" max="7"/>
    <col width="70" customWidth="1" style="54" min="8" max="8"/>
    <col width="13" customWidth="1" style="54" min="9" max="9"/>
    <col width="10" customWidth="1" style="54" min="10" max="10"/>
    <col width="30" customWidth="1" style="54" min="11" max="11"/>
  </cols>
  <sheetData>
    <row r="1" ht="23.85" customHeight="1" s="55">
      <c r="A1" s="64" t="inlineStr">
        <is>
          <t>ID</t>
        </is>
      </c>
      <c r="B1" s="64" t="inlineStr">
        <is>
          <t>Date</t>
        </is>
      </c>
      <c r="C1" s="64" t="inlineStr">
        <is>
          <t>Day</t>
        </is>
      </c>
      <c r="D1" s="64" t="inlineStr">
        <is>
          <t>Time (ET)</t>
        </is>
      </c>
      <c r="E1" s="64" t="inlineStr">
        <is>
          <t>Owner</t>
        </is>
      </c>
      <c r="F1" s="64" t="inlineStr">
        <is>
          <t>Workstream</t>
        </is>
      </c>
      <c r="G1" s="64" t="inlineStr">
        <is>
          <t>Task</t>
        </is>
      </c>
      <c r="H1" s="64" t="inlineStr">
        <is>
          <t>How / detail</t>
        </is>
      </c>
      <c r="I1" s="64" t="inlineStr">
        <is>
          <t>Status</t>
        </is>
      </c>
      <c r="J1" s="64" t="inlineStr">
        <is>
          <t>Done on</t>
        </is>
      </c>
      <c r="K1" s="64" t="inlineStr">
        <is>
          <t>Notes</t>
        </is>
      </c>
    </row>
    <row r="2" ht="35.05" customHeight="1" s="55">
      <c r="A2" s="65" t="inlineStr">
        <is>
          <t>T01</t>
        </is>
      </c>
      <c r="B2" s="66" t="n">
        <v>46289</v>
      </c>
      <c r="C2" s="65">
        <f>TEXT(B2,"ddd")</f>
        <v/>
      </c>
      <c r="D2" s="65" t="inlineStr">
        <is>
          <t>20:00</t>
        </is>
      </c>
      <c r="E2" s="65" t="inlineStr">
        <is>
          <t>Jim</t>
        </is>
      </c>
      <c r="F2" s="65" t="inlineStr">
        <is>
          <t>OPS</t>
        </is>
      </c>
      <c r="G2" s="65" t="inlineStr">
        <is>
          <t>Turn on Telegram two-step verification</t>
        </is>
      </c>
      <c r="H2" s="65" t="inlineStr">
        <is>
          <t>On the Telegram account that owns @TemptationTokenBot and the channels: Settings &gt; Privacy &amp; Security &gt; Two-Step Verification. Starts the 7-day clock Telegram requires before a bot can change owners. Do not change the password afterward.</t>
        </is>
      </c>
      <c r="I2" s="67" t="inlineStr">
        <is>
          <t>Not started</t>
        </is>
      </c>
      <c r="J2" s="68" t="n"/>
      <c r="K2" s="65" t="n"/>
    </row>
    <row r="3" ht="23.85" customHeight="1" s="55">
      <c r="A3" s="65" t="inlineStr">
        <is>
          <t>T02</t>
        </is>
      </c>
      <c r="B3" s="66" t="n">
        <v>46289</v>
      </c>
      <c r="C3" s="65">
        <f>TEXT(B3,"ddd")</f>
        <v/>
      </c>
      <c r="D3" s="65" t="inlineStr">
        <is>
          <t>20:15</t>
        </is>
      </c>
      <c r="E3" s="65" t="inlineStr">
        <is>
          <t>Jim</t>
        </is>
      </c>
      <c r="F3" s="65" t="inlineStr">
        <is>
          <t>LEGAL</t>
        </is>
      </c>
      <c r="G3" s="65" t="inlineStr">
        <is>
          <t>Send Mike the member consent + Safe-signer agreement</t>
        </is>
      </c>
      <c r="H3" s="65" t="inlineStr">
        <is>
          <t>Written consent to sell (assets or the LLC) plus his agreement to sign the Safe transfer at close. Checklist: Data Room tab.</t>
        </is>
      </c>
      <c r="I3" s="67" t="inlineStr">
        <is>
          <t>Not started</t>
        </is>
      </c>
      <c r="J3" s="68" t="n"/>
      <c r="K3" s="65" t="n"/>
    </row>
    <row r="4" ht="35.05" customHeight="1" s="55">
      <c r="A4" s="65" t="inlineStr">
        <is>
          <t>T03</t>
        </is>
      </c>
      <c r="B4" s="66" t="n">
        <v>46289</v>
      </c>
      <c r="C4" s="65">
        <f>TEXT(B4,"ddd")</f>
        <v/>
      </c>
      <c r="D4" s="65" t="inlineStr">
        <is>
          <t>21:00</t>
        </is>
      </c>
      <c r="E4" s="65" t="inlineStr">
        <is>
          <t>Jim</t>
        </is>
      </c>
      <c r="F4" s="65" t="inlineStr">
        <is>
          <t>OPS</t>
        </is>
      </c>
      <c r="G4" s="65" t="inlineStr">
        <is>
          <t>Paste the Claude Code sprint prompt and let it run overnight</t>
        </is>
      </c>
      <c r="H4" s="65" t="inlineStr">
        <is>
          <t>File: TTS_Sale_Sprint_ClaudeCode.md. Opens the site to crawlers, generates the AI Models batch, fork-tests the liquidity move, runs the pre-audit, installs the daily reminder email.</t>
        </is>
      </c>
      <c r="I4" s="67" t="inlineStr">
        <is>
          <t>Not started</t>
        </is>
      </c>
      <c r="J4" s="68" t="n"/>
      <c r="K4" s="65" t="n"/>
    </row>
    <row r="5" ht="23.85" customHeight="1" s="55">
      <c r="A5" s="65" t="inlineStr">
        <is>
          <t>T04</t>
        </is>
      </c>
      <c r="B5" s="66" t="n">
        <v>46290</v>
      </c>
      <c r="C5" s="65">
        <f>TEXT(B5,"ddd")</f>
        <v/>
      </c>
      <c r="D5" s="65" t="inlineStr">
        <is>
          <t>07:00</t>
        </is>
      </c>
      <c r="E5" s="65" t="inlineStr">
        <is>
          <t>Auto</t>
        </is>
      </c>
      <c r="F5" s="65" t="inlineStr">
        <is>
          <t>OPS</t>
        </is>
      </c>
      <c r="G5" s="65" t="inlineStr">
        <is>
          <t>First daily digest email arrives</t>
        </is>
      </c>
      <c r="H5" s="65" t="inlineStr">
        <is>
          <t>Starts once the Bridge password is in .env (T67). Then every day at 7:00 AM ET through Nov 6.</t>
        </is>
      </c>
      <c r="I5" s="67" t="inlineStr">
        <is>
          <t>Not started</t>
        </is>
      </c>
      <c r="J5" s="68" t="n"/>
      <c r="K5" s="65" t="n"/>
    </row>
    <row r="6" ht="35.05" customHeight="1" s="55">
      <c r="A6" s="65" t="inlineStr">
        <is>
          <t>T66</t>
        </is>
      </c>
      <c r="B6" s="66" t="n">
        <v>46290</v>
      </c>
      <c r="C6" s="65">
        <f>TEXT(B6,"ddd")</f>
        <v/>
      </c>
      <c r="D6" s="65" t="inlineStr">
        <is>
          <t>07:30</t>
        </is>
      </c>
      <c r="E6" s="65" t="inlineStr">
        <is>
          <t>Jim</t>
        </is>
      </c>
      <c r="F6" s="65" t="inlineStr">
        <is>
          <t>SITE</t>
        </is>
      </c>
      <c r="G6" s="65" t="inlineStr">
        <is>
          <t>Fix the 7 false claims on WordPress - '45% APR' first</t>
        </is>
      </c>
      <c r="H6" s="65" t="inlineStr">
        <is>
          <t>Replacement text: outputs/site/false_claims_2026-09-25.md. Edit each page by hand in WP admin / Elementor (revision-safe). If a page takes more than 5 minutes, set it to Draft until it's fixed.</t>
        </is>
      </c>
      <c r="I6" s="67" t="inlineStr">
        <is>
          <t>Not started</t>
        </is>
      </c>
      <c r="J6" s="68" t="n"/>
      <c r="K6" s="65" t="n"/>
    </row>
    <row r="7" ht="23.85" customHeight="1" s="55">
      <c r="A7" s="65" t="inlineStr">
        <is>
          <t>T67</t>
        </is>
      </c>
      <c r="B7" s="66" t="n">
        <v>46290</v>
      </c>
      <c r="C7" s="65">
        <f>TEXT(B7,"ddd")</f>
        <v/>
      </c>
      <c r="D7" s="65" t="inlineStr">
        <is>
          <t>08:00</t>
        </is>
      </c>
      <c r="E7" s="65" t="inlineStr">
        <is>
          <t>Jim</t>
        </is>
      </c>
      <c r="F7" s="65" t="inlineStr">
        <is>
          <t>OPS</t>
        </is>
      </c>
      <c r="G7" s="65" t="inlineStr">
        <is>
          <t>Put the Proton Bridge password into .env</t>
        </is>
      </c>
      <c r="H7" s="65" t="inlineStr">
        <is>
          <t>Bridge app &gt; your account &gt; copy the Bridge password (not your Proton login) into Claude Code's masked prompt. Unblocks the daily email, the canary and all outreach.</t>
        </is>
      </c>
      <c r="I7" s="67" t="inlineStr">
        <is>
          <t>Not started</t>
        </is>
      </c>
      <c r="J7" s="68" t="n"/>
      <c r="K7" s="65" t="n"/>
    </row>
    <row r="8" ht="35.05" customHeight="1" s="55">
      <c r="A8" s="65" t="inlineStr">
        <is>
          <t>T68</t>
        </is>
      </c>
      <c r="B8" s="66" t="n">
        <v>46290</v>
      </c>
      <c r="C8" s="65">
        <f>TEXT(B8,"ddd")</f>
        <v/>
      </c>
      <c r="D8" s="65" t="inlineStr">
        <is>
          <t>08:15</t>
        </is>
      </c>
      <c r="E8" s="65" t="inlineStr">
        <is>
          <t>Jim</t>
        </is>
      </c>
      <c r="F8" s="65" t="inlineStr">
        <is>
          <t>LEGAL</t>
        </is>
      </c>
      <c r="G8" s="65" t="inlineStr">
        <is>
          <t>Choose the postal address for TTS email footers</t>
        </is>
      </c>
      <c r="H8" s="65" t="inlineStr">
        <is>
          <t>CAN-SPAM needs a valid postal address. A USPS P.O. box or a virtual mailbox for Blockchain Entertainment LLC keeps your home and other businesses off TTS mail. Give it to Claude Code.</t>
        </is>
      </c>
      <c r="I8" s="67" t="inlineStr">
        <is>
          <t>Not started</t>
        </is>
      </c>
      <c r="J8" s="68" t="n"/>
      <c r="K8" s="65" t="n"/>
    </row>
    <row r="9" ht="35.05" customHeight="1" s="55">
      <c r="A9" s="65" t="inlineStr">
        <is>
          <t>T05</t>
        </is>
      </c>
      <c r="B9" s="66" t="n">
        <v>46290</v>
      </c>
      <c r="C9" s="65">
        <f>TEXT(B9,"ddd")</f>
        <v/>
      </c>
      <c r="D9" s="65" t="inlineStr">
        <is>
          <t>08:30</t>
        </is>
      </c>
      <c r="E9" s="65" t="inlineStr">
        <is>
          <t>Jim</t>
        </is>
      </c>
      <c r="F9" s="65" t="inlineStr">
        <is>
          <t>STORE</t>
        </is>
      </c>
      <c r="G9" s="65" t="inlineStr">
        <is>
          <t>Check Google Play account type</t>
        </is>
      </c>
      <c r="H9" s="65" t="inlineStr">
        <is>
          <t>Play Console &gt; Settings &gt; Developer account &gt; Account details. Personal (created after Nov 13, 2023) = 14-day closed test with 12+ testers first. Organization = submit to production now. Tell Claude Code which.</t>
        </is>
      </c>
      <c r="I9" s="67" t="inlineStr">
        <is>
          <t>Not started</t>
        </is>
      </c>
      <c r="J9" s="68" t="n"/>
      <c r="K9" s="65" t="n"/>
    </row>
    <row r="10" ht="35.05" customHeight="1" s="55">
      <c r="A10" s="65" t="inlineStr">
        <is>
          <t>T06</t>
        </is>
      </c>
      <c r="B10" s="66" t="n">
        <v>46290</v>
      </c>
      <c r="C10" s="65">
        <f>TEXT(B10,"ddd")</f>
        <v/>
      </c>
      <c r="D10" s="65" t="inlineStr">
        <is>
          <t>09:00</t>
        </is>
      </c>
      <c r="E10" s="65" t="inlineStr">
        <is>
          <t>Jim</t>
        </is>
      </c>
      <c r="F10" s="65" t="inlineStr">
        <is>
          <t>AUDIT</t>
        </is>
      </c>
      <c r="G10" s="65" t="inlineStr">
        <is>
          <t>Optional: SolidProof quote request (quote only - no money before an offer)</t>
        </is>
      </c>
      <c r="H10" s="65" t="inlineStr">
        <is>
          <t>The draft with disclosures is in outputs/sale/. A quote gives you a 'cost to certify' number for negotiation; fund an audit only if a serious buyer asks for one as a closing condition.</t>
        </is>
      </c>
      <c r="I10" s="67" t="inlineStr">
        <is>
          <t>Not started</t>
        </is>
      </c>
      <c r="J10" s="68" t="n"/>
      <c r="K10" s="65" t="n"/>
    </row>
    <row r="11" ht="23.85" customHeight="1" s="55">
      <c r="A11" s="65" t="inlineStr">
        <is>
          <t>T07</t>
        </is>
      </c>
      <c r="B11" s="66" t="n">
        <v>46290</v>
      </c>
      <c r="C11" s="65">
        <f>TEXT(B11,"ddd")</f>
        <v/>
      </c>
      <c r="D11" s="65" t="inlineStr">
        <is>
          <t>09:30</t>
        </is>
      </c>
      <c r="E11" s="65" t="inlineStr">
        <is>
          <t>Jim</t>
        </is>
      </c>
      <c r="F11" s="65" t="inlineStr">
        <is>
          <t>LIQ</t>
        </is>
      </c>
      <c r="G11" s="65" t="inlineStr">
        <is>
          <t>Transak: generate the PRODUCTION API key</t>
        </is>
      </c>
      <c r="H11" s="65" t="inlineStr">
        <is>
          <t>Business verification is done, so pull the production key in the Transak dashboard and hand it to Claude Code through its secure prompt (never paste keys in chat).</t>
        </is>
      </c>
      <c r="I11" s="67" t="inlineStr">
        <is>
          <t>Not started</t>
        </is>
      </c>
      <c r="J11" s="68" t="n"/>
      <c r="K11" s="65" t="n"/>
    </row>
    <row r="12" ht="23.85" customHeight="1" s="55">
      <c r="A12" s="65" t="inlineStr">
        <is>
          <t>T08</t>
        </is>
      </c>
      <c r="B12" s="66" t="n">
        <v>46290</v>
      </c>
      <c r="C12" s="65">
        <f>TEXT(B12,"ddd")</f>
        <v/>
      </c>
      <c r="D12" s="65" t="inlineStr">
        <is>
          <t>10:00</t>
        </is>
      </c>
      <c r="E12" s="65" t="inlineStr">
        <is>
          <t>Jim</t>
        </is>
      </c>
      <c r="F12" s="65" t="inlineStr">
        <is>
          <t>AI</t>
        </is>
      </c>
      <c r="G12" s="65" t="inlineStr">
        <is>
          <t>Create an image-generation API key</t>
        </is>
      </c>
      <c r="H12" s="65" t="inlineStr">
        <is>
          <t>Replicate, fal.ai or OpenAI. Add IMAGE_API_KEY to the repo .env. Costs pennies per image.</t>
        </is>
      </c>
      <c r="I12" s="67" t="inlineStr">
        <is>
          <t>Not started</t>
        </is>
      </c>
      <c r="J12" s="68" t="n"/>
      <c r="K12" s="65" t="n"/>
    </row>
    <row r="13" ht="23.85" customHeight="1" s="55">
      <c r="A13" s="65" t="inlineStr">
        <is>
          <t>T69</t>
        </is>
      </c>
      <c r="B13" s="66" t="n">
        <v>46290</v>
      </c>
      <c r="C13" s="65">
        <f>TEXT(B13,"ddd")</f>
        <v/>
      </c>
      <c r="D13" s="65" t="inlineStr">
        <is>
          <t>11:00</t>
        </is>
      </c>
      <c r="E13" s="65" t="inlineStr">
        <is>
          <t>Claude Code</t>
        </is>
      </c>
      <c r="F13" s="65" t="inlineStr">
        <is>
          <t>AUDIT</t>
        </is>
      </c>
      <c r="G13" s="65" t="inlineStr">
        <is>
          <t>Map the original audit's 1 critical + 3 high to the deployed code</t>
        </is>
      </c>
      <c r="H13" s="65" t="inlineStr">
        <is>
          <t>Each one: fixed / not applicable / live. Anything live and exploitable = no card go-live until it's mitigated. Results go on /audit.</t>
        </is>
      </c>
      <c r="I13" s="67" t="inlineStr">
        <is>
          <t>Not started</t>
        </is>
      </c>
      <c r="J13" s="68" t="n"/>
      <c r="K13" s="65" t="n"/>
    </row>
    <row r="14" ht="23.85" customHeight="1" s="55">
      <c r="A14" s="65" t="inlineStr">
        <is>
          <t>T09</t>
        </is>
      </c>
      <c r="B14" s="66" t="n">
        <v>46290</v>
      </c>
      <c r="C14" s="65">
        <f>TEXT(B14,"ddd")</f>
        <v/>
      </c>
      <c r="D14" s="65" t="inlineStr">
        <is>
          <t>12:00</t>
        </is>
      </c>
      <c r="E14" s="65" t="inlineStr">
        <is>
          <t>Jim</t>
        </is>
      </c>
      <c r="F14" s="65" t="inlineStr">
        <is>
          <t>LIQ</t>
        </is>
      </c>
      <c r="G14" s="65" t="inlineStr">
        <is>
          <t>Read the liquidity fork-test report</t>
        </is>
      </c>
      <c r="H14" s="65" t="inlineStr">
        <is>
          <t>outputs/sale/liquidity_forktest.md: card-buy sizes before/after, price impact, and exactly what Safe transaction #1 does.</t>
        </is>
      </c>
      <c r="I14" s="67" t="inlineStr">
        <is>
          <t>Not started</t>
        </is>
      </c>
      <c r="J14" s="68" t="n"/>
      <c r="K14" s="65" t="n"/>
    </row>
    <row r="15" ht="46.25" customHeight="1" s="55">
      <c r="A15" s="65" t="inlineStr">
        <is>
          <t>T10</t>
        </is>
      </c>
      <c r="B15" s="66" t="n">
        <v>46290</v>
      </c>
      <c r="C15" s="65">
        <f>TEXT(B15,"ddd")</f>
        <v/>
      </c>
      <c r="D15" s="65" t="inlineStr">
        <is>
          <t>13:00</t>
        </is>
      </c>
      <c r="E15" s="65" t="inlineStr">
        <is>
          <t>Jim + Mike</t>
        </is>
      </c>
      <c r="F15" s="65" t="inlineStr">
        <is>
          <t>LIQ</t>
        </is>
      </c>
      <c r="G15" s="65" t="inlineStr">
        <is>
          <t>Sign Safe transaction #1: liquidity</t>
        </is>
      </c>
      <c r="H15" s="65" t="inlineStr">
        <is>
          <t>Built and fork-verified: new pool, tax exemption, single-sided position funded with 0.0101% of the Safe's TTS - no ETH, no cash. Max card buy goes from ~$50 to $1,000 ($500 at 1.92% impact, $1,000 at 3.26%). Expires Oct 9 - rebuild if the price moves.</t>
        </is>
      </c>
      <c r="I15" s="67" t="inlineStr">
        <is>
          <t>Not started</t>
        </is>
      </c>
      <c r="J15" s="68" t="n"/>
      <c r="K15" s="65" t="n"/>
    </row>
    <row r="16" ht="23.85" customHeight="1" s="55">
      <c r="A16" s="65" t="inlineStr">
        <is>
          <t>T70</t>
        </is>
      </c>
      <c r="B16" s="66" t="n">
        <v>46290</v>
      </c>
      <c r="C16" s="65">
        <f>TEXT(B16,"ddd")</f>
        <v/>
      </c>
      <c r="D16" s="65" t="inlineStr">
        <is>
          <t>14:00</t>
        </is>
      </c>
      <c r="E16" s="65" t="inlineStr">
        <is>
          <t>Claude Code</t>
        </is>
      </c>
      <c r="F16" s="65" t="inlineStr">
        <is>
          <t>LIQ</t>
        </is>
      </c>
      <c r="G16" s="65" t="inlineStr">
        <is>
          <t>Recover the ~44 LINK - autopilot gate met</t>
        </is>
      </c>
      <c r="H16" s="65" t="inlineStr">
        <is>
          <t>Rounds 9-12 settled unattended. Build the cancel/withdraw transaction(s); top the VRF subscription to 25+ LINK first; remainder to ETH for sell-side depth.</t>
        </is>
      </c>
      <c r="I16" s="67" t="inlineStr">
        <is>
          <t>Not started</t>
        </is>
      </c>
      <c r="J16" s="68" t="n"/>
      <c r="K16" s="65" t="n"/>
    </row>
    <row r="17" ht="23.85" customHeight="1" s="55">
      <c r="A17" s="65" t="inlineStr">
        <is>
          <t>T11</t>
        </is>
      </c>
      <c r="B17" s="66" t="n">
        <v>46290</v>
      </c>
      <c r="C17" s="65">
        <f>TEXT(B17,"ddd")</f>
        <v/>
      </c>
      <c r="D17" s="65" t="inlineStr">
        <is>
          <t>15:00</t>
        </is>
      </c>
      <c r="E17" s="65" t="inlineStr">
        <is>
          <t>Jim</t>
        </is>
      </c>
      <c r="F17" s="65" t="inlineStr">
        <is>
          <t>AI</t>
        </is>
      </c>
      <c r="G17" s="65" t="inlineStr">
        <is>
          <t>Approve the AI Models batch in admin</t>
        </is>
      </c>
      <c r="H17" s="65" t="inlineStr">
        <is>
          <t>Approval queue in admin. Reject anything that looks under 25, any nudity, any resemblance to a real person.</t>
        </is>
      </c>
      <c r="I17" s="67" t="inlineStr">
        <is>
          <t>Not started</t>
        </is>
      </c>
      <c r="J17" s="68" t="n"/>
      <c r="K17" s="65" t="n"/>
    </row>
    <row r="18" ht="23.85" customHeight="1" s="55">
      <c r="A18" s="65" t="inlineStr">
        <is>
          <t>T12</t>
        </is>
      </c>
      <c r="B18" s="66" t="n">
        <v>46290</v>
      </c>
      <c r="C18" s="65">
        <f>TEXT(B18,"ddd")</f>
        <v/>
      </c>
      <c r="D18" s="65" t="inlineStr">
        <is>
          <t>16:00</t>
        </is>
      </c>
      <c r="E18" s="65" t="inlineStr">
        <is>
          <t>Jim</t>
        </is>
      </c>
      <c r="F18" s="65" t="inlineStr">
        <is>
          <t>STORE</t>
        </is>
      </c>
      <c r="G18" s="65" t="inlineStr">
        <is>
          <t>Personal Play account only: recruit 15-20 testers</t>
        </is>
      </c>
      <c r="H18" s="65" t="inlineStr">
        <is>
          <t>Send the closed-test opt-in link from outputs/listings/play_closed_test.md. 12 must stay opted in 14 straight days; over-recruit so attrition never resets the clock.</t>
        </is>
      </c>
      <c r="I18" s="67" t="inlineStr">
        <is>
          <t>Not started</t>
        </is>
      </c>
      <c r="J18" s="68" t="n"/>
      <c r="K18" s="65" t="n"/>
    </row>
    <row r="19" ht="23.85" customHeight="1" s="55">
      <c r="A19" s="65" t="inlineStr">
        <is>
          <t>T13</t>
        </is>
      </c>
      <c r="B19" s="66" t="n">
        <v>46290</v>
      </c>
      <c r="C19" s="65">
        <f>TEXT(B19,"ddd")</f>
        <v/>
      </c>
      <c r="D19" s="65" t="inlineStr">
        <is>
          <t>17:00</t>
        </is>
      </c>
      <c r="E19" s="65" t="inlineStr">
        <is>
          <t>Jim</t>
        </is>
      </c>
      <c r="F19" s="65" t="inlineStr">
        <is>
          <t>SITE</t>
        </is>
      </c>
      <c r="G19" s="65" t="inlineStr">
        <is>
          <t>Verify temptationtoken.io in Google Search Console + Bing Webmaster</t>
        </is>
      </c>
      <c r="H19" s="65" t="inlineStr">
        <is>
          <t>DNS TXT record at the registrar, then import the site into Bing Webmaster Tools. Unlocks the traffic data buyers ask for.</t>
        </is>
      </c>
      <c r="I19" s="67" t="inlineStr">
        <is>
          <t>Not started</t>
        </is>
      </c>
      <c r="J19" s="68" t="n"/>
      <c r="K19" s="65" t="n"/>
    </row>
    <row r="20" ht="35.05" customHeight="1" s="55">
      <c r="A20" s="65" t="inlineStr">
        <is>
          <t>T14</t>
        </is>
      </c>
      <c r="B20" s="66" t="n">
        <v>46291</v>
      </c>
      <c r="C20" s="65">
        <f>TEXT(B20,"ddd")</f>
        <v/>
      </c>
      <c r="D20" s="65" t="inlineStr">
        <is>
          <t>10:00</t>
        </is>
      </c>
      <c r="E20" s="65" t="inlineStr">
        <is>
          <t>Claude Code</t>
        </is>
      </c>
      <c r="F20" s="65" t="inlineStr">
        <is>
          <t>SITE</t>
        </is>
      </c>
      <c r="G20" s="65" t="inlineStr">
        <is>
          <t>WordPress plugin v1.2 + robots.txt check</t>
        </is>
      </c>
      <c r="H20" s="65" t="inlineStr">
        <is>
          <t>Authenticated write routes for posts, pages and options so Claude Code can maintain the site. Also print temptationtoken.io/robots.txt as served and remove any AI-crawler Disallow lines.</t>
        </is>
      </c>
      <c r="I20" s="67" t="inlineStr">
        <is>
          <t>Not started</t>
        </is>
      </c>
      <c r="J20" s="68" t="n"/>
      <c r="K20" s="65" t="n"/>
    </row>
    <row r="21" ht="23.85" customHeight="1" s="55">
      <c r="A21" s="65" t="inlineStr">
        <is>
          <t>T71</t>
        </is>
      </c>
      <c r="B21" s="66" t="n">
        <v>46291</v>
      </c>
      <c r="C21" s="65">
        <f>TEXT(B21,"ddd")</f>
        <v/>
      </c>
      <c r="D21" s="65" t="inlineStr">
        <is>
          <t>11:00</t>
        </is>
      </c>
      <c r="E21" s="65" t="inlineStr">
        <is>
          <t>Claude Code</t>
        </is>
      </c>
      <c r="F21" s="65" t="inlineStr">
        <is>
          <t>DATA</t>
        </is>
      </c>
      <c r="G21" s="65" t="inlineStr">
        <is>
          <t>Replacement-cost sheet for the data room</t>
        </is>
      </c>
      <c r="H21" s="65" t="inlineStr">
        <is>
          <t>What it would cost a buyer to build this - components, hours at market rates, calendar time - from git history. Backs the asking price.</t>
        </is>
      </c>
      <c r="I21" s="67" t="inlineStr">
        <is>
          <t>Not started</t>
        </is>
      </c>
      <c r="J21" s="68" t="n"/>
      <c r="K21" s="65" t="n"/>
    </row>
    <row r="22" ht="23.85" customHeight="1" s="55">
      <c r="A22" s="65" t="inlineStr">
        <is>
          <t>T15</t>
        </is>
      </c>
      <c r="B22" s="66" t="n">
        <v>46291</v>
      </c>
      <c r="C22" s="65">
        <f>TEXT(B22,"ddd")</f>
        <v/>
      </c>
      <c r="D22" s="65" t="inlineStr">
        <is>
          <t>14:00</t>
        </is>
      </c>
      <c r="E22" s="65" t="inlineStr">
        <is>
          <t>Jim</t>
        </is>
      </c>
      <c r="F22" s="65" t="inlineStr">
        <is>
          <t>SITE</t>
        </is>
      </c>
      <c r="G22" s="65" t="inlineStr">
        <is>
          <t>Upload plugin v1.2 in WP admin (Plugins &gt; Add New &gt; Upload)</t>
        </is>
      </c>
      <c r="H22" s="65" t="inlineStr">
        <is>
          <t>Two minutes. Unlocks API edits to the site from then on.</t>
        </is>
      </c>
      <c r="I22" s="67" t="inlineStr">
        <is>
          <t>Not started</t>
        </is>
      </c>
      <c r="J22" s="68" t="n"/>
      <c r="K22" s="65" t="n"/>
    </row>
    <row r="23" ht="23.85" customHeight="1" s="55">
      <c r="A23" s="65" t="inlineStr">
        <is>
          <t>T16</t>
        </is>
      </c>
      <c r="B23" s="66" t="n">
        <v>46292</v>
      </c>
      <c r="C23" s="65">
        <f>TEXT(B23,"ddd")</f>
        <v/>
      </c>
      <c r="D23" s="65" t="inlineStr">
        <is>
          <t>11:00</t>
        </is>
      </c>
      <c r="E23" s="65" t="inlineStr">
        <is>
          <t>Jim</t>
        </is>
      </c>
      <c r="F23" s="65" t="inlineStr">
        <is>
          <t>DATA</t>
        </is>
      </c>
      <c r="G23" s="65" t="inlineStr">
        <is>
          <t>Record the 2-3 minute Loom demo</t>
        </is>
      </c>
      <c r="H23" s="65" t="inlineStr">
        <is>
          <t>Board &gt; Face ID signup &gt; vote &gt; trophy on Basescan &gt; admin &gt; club signup &gt; AI Models division. Paste the link into LOOM_URL.</t>
        </is>
      </c>
      <c r="I23" s="67" t="inlineStr">
        <is>
          <t>Not started</t>
        </is>
      </c>
      <c r="J23" s="68" t="n"/>
      <c r="K23" s="65" t="n"/>
    </row>
    <row r="24" ht="15" customHeight="1" s="55">
      <c r="A24" s="65" t="inlineStr">
        <is>
          <t>T17</t>
        </is>
      </c>
      <c r="B24" s="66" t="n">
        <v>46292</v>
      </c>
      <c r="C24" s="65">
        <f>TEXT(B24,"ddd")</f>
        <v/>
      </c>
      <c r="D24" s="65" t="inlineStr">
        <is>
          <t>18:00</t>
        </is>
      </c>
      <c r="E24" s="65" t="inlineStr">
        <is>
          <t>Jim</t>
        </is>
      </c>
      <c r="F24" s="65" t="inlineStr">
        <is>
          <t>DATA</t>
        </is>
      </c>
      <c r="G24" s="65" t="inlineStr">
        <is>
          <t>Review the data room draft</t>
        </is>
      </c>
      <c r="H24" s="65" t="inlineStr">
        <is>
          <t>outputs/sale/data_room/ - mark anything to add.</t>
        </is>
      </c>
      <c r="I24" s="67" t="inlineStr">
        <is>
          <t>Not started</t>
        </is>
      </c>
      <c r="J24" s="68" t="n"/>
      <c r="K24" s="65" t="n"/>
    </row>
    <row r="25" ht="23.85" customHeight="1" s="55">
      <c r="A25" s="65" t="inlineStr">
        <is>
          <t>T18</t>
        </is>
      </c>
      <c r="B25" s="66" t="n">
        <v>46293</v>
      </c>
      <c r="C25" s="65">
        <f>TEXT(B25,"ddd")</f>
        <v/>
      </c>
      <c r="D25" s="65" t="inlineStr">
        <is>
          <t>07:00</t>
        </is>
      </c>
      <c r="E25" s="65" t="inlineStr">
        <is>
          <t>Auto</t>
        </is>
      </c>
      <c r="F25" s="65" t="inlineStr">
        <is>
          <t>AI</t>
        </is>
      </c>
      <c r="G25" s="65" t="inlineStr">
        <is>
          <t>AI Models rotation #1</t>
        </is>
      </c>
      <c r="H25" s="65" t="inlineStr">
        <is>
          <t>Runs after the round settles. Retires the oldest AI entries, activates the next approved batch; one extra retires for each new verified creator.</t>
        </is>
      </c>
      <c r="I25" s="67" t="inlineStr">
        <is>
          <t>Not started</t>
        </is>
      </c>
      <c r="J25" s="68" t="n"/>
      <c r="K25" s="65" t="n"/>
    </row>
    <row r="26" ht="23.85" customHeight="1" s="55">
      <c r="A26" s="65" t="inlineStr">
        <is>
          <t>T19</t>
        </is>
      </c>
      <c r="B26" s="66" t="n">
        <v>46293</v>
      </c>
      <c r="C26" s="65">
        <f>TEXT(B26,"ddd")</f>
        <v/>
      </c>
      <c r="D26" s="65" t="inlineStr">
        <is>
          <t>09:00</t>
        </is>
      </c>
      <c r="E26" s="65" t="inlineStr">
        <is>
          <t>Claude Code</t>
        </is>
      </c>
      <c r="F26" s="65" t="inlineStr">
        <is>
          <t>AUDIT</t>
        </is>
      </c>
      <c r="G26" s="65" t="inlineStr">
        <is>
          <t>Build + fork-test the 48-hour timelock package - do NOT execute</t>
        </is>
      </c>
      <c r="H26" s="65" t="inlineStr">
        <is>
          <t>Parked as a closing-day option for the buyer. Handing admin to a timelock on an immutable token can't be undone, so it happens only if the buyer wants it.</t>
        </is>
      </c>
      <c r="I26" s="67" t="inlineStr">
        <is>
          <t>Not started</t>
        </is>
      </c>
      <c r="J26" s="68" t="n"/>
      <c r="K26" s="65" t="n"/>
    </row>
    <row r="27" ht="23.85" customHeight="1" s="55">
      <c r="A27" s="65" t="inlineStr">
        <is>
          <t>T20</t>
        </is>
      </c>
      <c r="B27" s="66" t="n">
        <v>46293</v>
      </c>
      <c r="C27" s="65">
        <f>TEXT(B27,"ddd")</f>
        <v/>
      </c>
      <c r="D27" s="65" t="inlineStr">
        <is>
          <t>10:00</t>
        </is>
      </c>
      <c r="E27" s="65" t="inlineStr">
        <is>
          <t>Jim</t>
        </is>
      </c>
      <c r="F27" s="65" t="inlineStr">
        <is>
          <t>LIQ</t>
        </is>
      </c>
      <c r="G27" s="65" t="inlineStr">
        <is>
          <t>Live card test: buy $30 of TTS by card on your phone</t>
        </is>
      </c>
      <c r="H27" s="65" t="inlineStr">
        <is>
          <t>Only after T69 finds no live critical/high issue and Safe tx #1 has executed. Confirms Transak &gt; swap &gt; wallet end to end in production.</t>
        </is>
      </c>
      <c r="I27" s="67" t="inlineStr">
        <is>
          <t>Not started</t>
        </is>
      </c>
      <c r="J27" s="68" t="n"/>
      <c r="K27" s="65" t="n"/>
    </row>
    <row r="28" ht="23.85" customHeight="1" s="55">
      <c r="A28" s="65" t="inlineStr">
        <is>
          <t>T21</t>
        </is>
      </c>
      <c r="B28" s="66" t="n">
        <v>46293</v>
      </c>
      <c r="C28" s="65">
        <f>TEXT(B28,"ddd")</f>
        <v/>
      </c>
      <c r="D28" s="65" t="inlineStr">
        <is>
          <t>11:00</t>
        </is>
      </c>
      <c r="E28" s="65" t="inlineStr">
        <is>
          <t>Claude Code</t>
        </is>
      </c>
      <c r="F28" s="65" t="inlineStr">
        <is>
          <t>SITE</t>
        </is>
      </c>
      <c r="G28" s="65" t="inlineStr">
        <is>
          <t>IndexNow push + request indexing on the top 10 pages</t>
        </is>
      </c>
      <c r="H28" s="65" t="inlineStr">
        <is>
          <t>Every URL goes to IndexNow engines within hours; Google via Search Console.</t>
        </is>
      </c>
      <c r="I28" s="67" t="inlineStr">
        <is>
          <t>Not started</t>
        </is>
      </c>
      <c r="J28" s="68" t="n"/>
      <c r="K28" s="65" t="n"/>
    </row>
    <row r="29" ht="23.85" customHeight="1" s="55">
      <c r="A29" s="65" t="inlineStr">
        <is>
          <t>T72</t>
        </is>
      </c>
      <c r="B29" s="66" t="n">
        <v>46293</v>
      </c>
      <c r="C29" s="65">
        <f>TEXT(B29,"ddd")</f>
        <v/>
      </c>
      <c r="D29" s="65" t="inlineStr">
        <is>
          <t>12:00</t>
        </is>
      </c>
      <c r="E29" s="65" t="inlineStr">
        <is>
          <t>Jim</t>
        </is>
      </c>
      <c r="F29" s="65" t="inlineStr">
        <is>
          <t>OUTREACH</t>
        </is>
      </c>
      <c r="G29" s="65" t="inlineStr">
        <is>
          <t>Traction push: post each round to your Telegram and X</t>
        </is>
      </c>
      <c r="H29" s="65" t="inlineStr">
        <is>
          <t>Every real vote raises the price. Share the round link, the free first vote and the 500 TTS signup bonus. Real people only - buyers check onchain.</t>
        </is>
      </c>
      <c r="I29" s="67" t="inlineStr">
        <is>
          <t>Not started</t>
        </is>
      </c>
      <c r="J29" s="68" t="n"/>
      <c r="K29" s="65" t="n"/>
    </row>
    <row r="30" ht="23.85" customHeight="1" s="55">
      <c r="A30" s="65" t="inlineStr">
        <is>
          <t>T22</t>
        </is>
      </c>
      <c r="B30" s="66" t="n">
        <v>46293</v>
      </c>
      <c r="C30" s="65">
        <f>TEXT(B30,"ddd")</f>
        <v/>
      </c>
      <c r="D30" s="65" t="inlineStr">
        <is>
          <t>14:00</t>
        </is>
      </c>
      <c r="E30" s="65" t="inlineStr">
        <is>
          <t>Jim</t>
        </is>
      </c>
      <c r="F30" s="65" t="inlineStr">
        <is>
          <t>STORE</t>
        </is>
      </c>
      <c r="G30" s="65" t="inlineStr">
        <is>
          <t>Play: org account &gt; submit production; personal &gt; confirm 12+ testers opted in</t>
        </is>
      </c>
      <c r="H30" s="65" t="inlineStr">
        <is>
          <t>Listing copy: outputs/listings/play_store_listing.md.</t>
        </is>
      </c>
      <c r="I30" s="67" t="inlineStr">
        <is>
          <t>Not started</t>
        </is>
      </c>
      <c r="J30" s="68" t="n"/>
      <c r="K30" s="65" t="n"/>
    </row>
    <row r="31" ht="23.85" customHeight="1" s="55">
      <c r="A31" s="65" t="inlineStr">
        <is>
          <t>T23</t>
        </is>
      </c>
      <c r="B31" s="66" t="n">
        <v>46294</v>
      </c>
      <c r="C31" s="65">
        <f>TEXT(B31,"ddd")</f>
        <v/>
      </c>
      <c r="D31" s="65" t="inlineStr">
        <is>
          <t>10:00</t>
        </is>
      </c>
      <c r="E31" s="65" t="inlineStr">
        <is>
          <t>Jim</t>
        </is>
      </c>
      <c r="F31" s="65" t="inlineStr">
        <is>
          <t>OUTREACH</t>
        </is>
      </c>
      <c r="G31" s="65" t="inlineStr">
        <is>
          <t>Register TTS on base.dev and submit the mini app form</t>
        </is>
      </c>
      <c r="H31" s="65" t="inlineStr">
        <is>
          <t>Builder presence in the Base ecosystem; your paymaster already meets the sponsored-gas criterion.</t>
        </is>
      </c>
      <c r="I31" s="67" t="inlineStr">
        <is>
          <t>Not started</t>
        </is>
      </c>
      <c r="J31" s="68" t="n"/>
      <c r="K31" s="65" t="n"/>
    </row>
    <row r="32" ht="15" customHeight="1" s="55">
      <c r="A32" s="65" t="inlineStr">
        <is>
          <t>T24</t>
        </is>
      </c>
      <c r="B32" s="66" t="n">
        <v>46294</v>
      </c>
      <c r="C32" s="65">
        <f>TEXT(B32,"ddd")</f>
        <v/>
      </c>
      <c r="D32" s="65" t="inlineStr">
        <is>
          <t>11:00</t>
        </is>
      </c>
      <c r="E32" s="65" t="inlineStr">
        <is>
          <t>Jim</t>
        </is>
      </c>
      <c r="F32" s="65" t="inlineStr">
        <is>
          <t>DATA</t>
        </is>
      </c>
      <c r="G32" s="65" t="inlineStr">
        <is>
          <t>Approve the one-pager and listing drafts</t>
        </is>
      </c>
      <c r="H32" s="65" t="inlineStr">
        <is>
          <t>outputs/sale/listings/ (Acquire.Fi, SideProjectors, IndieMaker).</t>
        </is>
      </c>
      <c r="I32" s="67" t="inlineStr">
        <is>
          <t>Not started</t>
        </is>
      </c>
      <c r="J32" s="68" t="n"/>
      <c r="K32" s="65" t="n"/>
    </row>
    <row r="33" ht="15" customHeight="1" s="55">
      <c r="A33" s="65" t="inlineStr">
        <is>
          <t>T73</t>
        </is>
      </c>
      <c r="B33" s="66" t="n">
        <v>46294</v>
      </c>
      <c r="C33" s="65">
        <f>TEXT(B33,"ddd")</f>
        <v/>
      </c>
      <c r="D33" s="65" t="inlineStr">
        <is>
          <t>11:00</t>
        </is>
      </c>
      <c r="E33" s="65" t="inlineStr">
        <is>
          <t>Claude Code</t>
        </is>
      </c>
      <c r="F33" s="65" t="inlineStr">
        <is>
          <t>LIQ</t>
        </is>
      </c>
      <c r="G33" s="65" t="inlineStr">
        <is>
          <t>Draft the Blockaid / GoPlus update for Jim to send</t>
        </is>
      </c>
      <c r="H33" s="65" t="inlineStr">
        <is>
          <t>Evidence: the contract has no blacklist setter, plus the deeper liquidity from Safe tx #1.</t>
        </is>
      </c>
      <c r="I33" s="67" t="inlineStr">
        <is>
          <t>Not started</t>
        </is>
      </c>
      <c r="J33" s="68" t="n"/>
      <c r="K33" s="65" t="n"/>
    </row>
    <row r="34" ht="23.85" customHeight="1" s="55">
      <c r="A34" s="65" t="inlineStr">
        <is>
          <t>T25</t>
        </is>
      </c>
      <c r="B34" s="66" t="n">
        <v>46294</v>
      </c>
      <c r="C34" s="65">
        <f>TEXT(B34,"ddd")</f>
        <v/>
      </c>
      <c r="D34" s="65" t="inlineStr">
        <is>
          <t>14:00</t>
        </is>
      </c>
      <c r="E34" s="65" t="inlineStr">
        <is>
          <t>Jim</t>
        </is>
      </c>
      <c r="F34" s="65" t="inlineStr">
        <is>
          <t>OUTREACH</t>
        </is>
      </c>
      <c r="G34" s="65" t="inlineStr">
        <is>
          <t>LinkedIn: follow every decision-maker on the Acquirers tab</t>
        </is>
      </c>
      <c r="H34" s="65" t="inlineStr">
        <is>
          <t>Warms up the Oct 1 connection requests.</t>
        </is>
      </c>
      <c r="I34" s="67" t="inlineStr">
        <is>
          <t>Not started</t>
        </is>
      </c>
      <c r="J34" s="68" t="n"/>
      <c r="K34" s="65" t="n"/>
    </row>
    <row r="35" ht="23.85" customHeight="1" s="55">
      <c r="A35" s="65" t="inlineStr">
        <is>
          <t>T74</t>
        </is>
      </c>
      <c r="B35" s="66" t="n">
        <v>46294</v>
      </c>
      <c r="C35" s="65">
        <f>TEXT(B35,"ddd")</f>
        <v/>
      </c>
      <c r="D35" s="65" t="inlineStr">
        <is>
          <t>16:00</t>
        </is>
      </c>
      <c r="E35" s="65" t="inlineStr">
        <is>
          <t>Jim + Mike</t>
        </is>
      </c>
      <c r="F35" s="65" t="inlineStr">
        <is>
          <t>CLOSE</t>
        </is>
      </c>
      <c r="G35" s="65" t="inlineStr">
        <is>
          <t>Agree your private walk-away price</t>
        </is>
      </c>
      <c r="H35" s="65" t="inlineStr">
        <is>
          <t>Anchors stay $95K structured / $65K all-cash. The floor stays between you two and off every document.</t>
        </is>
      </c>
      <c r="I35" s="67" t="inlineStr">
        <is>
          <t>Not started</t>
        </is>
      </c>
      <c r="J35" s="68" t="n"/>
      <c r="K35" s="65" t="n"/>
    </row>
    <row r="36" ht="35.05" customHeight="1" s="55">
      <c r="A36" s="65" t="inlineStr">
        <is>
          <t>T26</t>
        </is>
      </c>
      <c r="B36" s="66" t="n">
        <v>46295</v>
      </c>
      <c r="C36" s="65">
        <f>TEXT(B36,"ddd")</f>
        <v/>
      </c>
      <c r="D36" s="65" t="inlineStr">
        <is>
          <t>10:00</t>
        </is>
      </c>
      <c r="E36" s="65" t="inlineStr">
        <is>
          <t>Jim</t>
        </is>
      </c>
      <c r="F36" s="65" t="inlineStr">
        <is>
          <t>LEGAL</t>
        </is>
      </c>
      <c r="G36" s="65" t="inlineStr">
        <is>
          <t>Put counsel's sign-off letter in the data room</t>
        </is>
      </c>
      <c r="H36" s="65" t="inlineStr">
        <is>
          <t>Send counsel a short note first that the old site claims were found and corrected (with dates) so the letter reflects the current site. One page confirming the review is complete.</t>
        </is>
      </c>
      <c r="I36" s="67" t="inlineStr">
        <is>
          <t>Not started</t>
        </is>
      </c>
      <c r="J36" s="68" t="n"/>
      <c r="K36" s="65" t="n"/>
    </row>
    <row r="37" ht="15" customHeight="1" s="55">
      <c r="A37" s="65" t="inlineStr">
        <is>
          <t>T27</t>
        </is>
      </c>
      <c r="B37" s="66" t="n">
        <v>46295</v>
      </c>
      <c r="C37" s="65">
        <f>TEXT(B37,"ddd")</f>
        <v/>
      </c>
      <c r="D37" s="65" t="inlineStr">
        <is>
          <t>11:00</t>
        </is>
      </c>
      <c r="E37" s="65" t="inlineStr">
        <is>
          <t>Claude Code</t>
        </is>
      </c>
      <c r="F37" s="65" t="inlineStr">
        <is>
          <t>SITE</t>
        </is>
      </c>
      <c r="G37" s="65" t="inlineStr">
        <is>
          <t>Final QA: crawler test per bot, speed, schema, links</t>
        </is>
      </c>
      <c r="H37" s="65" t="inlineStr">
        <is>
          <t>Report: outputs/site/qa_final.md.</t>
        </is>
      </c>
      <c r="I37" s="67" t="inlineStr">
        <is>
          <t>Not started</t>
        </is>
      </c>
      <c r="J37" s="68" t="n"/>
      <c r="K37" s="65" t="n"/>
    </row>
    <row r="38" ht="23.85" customHeight="1" s="55">
      <c r="A38" s="65" t="inlineStr">
        <is>
          <t>T28</t>
        </is>
      </c>
      <c r="B38" s="66" t="n">
        <v>46295</v>
      </c>
      <c r="C38" s="65">
        <f>TEXT(B38,"ddd")</f>
        <v/>
      </c>
      <c r="D38" s="65" t="inlineStr">
        <is>
          <t>16:00</t>
        </is>
      </c>
      <c r="E38" s="65" t="inlineStr">
        <is>
          <t>Jim</t>
        </is>
      </c>
      <c r="F38" s="65" t="inlineStr">
        <is>
          <t>OUTREACH</t>
        </is>
      </c>
      <c r="G38" s="65" t="inlineStr">
        <is>
          <t>Approve the Oct 1 automated batch</t>
        </is>
      </c>
      <c r="H38" s="65" t="inlineStr">
        <is>
          <t>Claude Code queues each email for 9:05 AM recipient-local time; a canary copy to you fires first.</t>
        </is>
      </c>
      <c r="I38" s="67" t="inlineStr">
        <is>
          <t>Not started</t>
        </is>
      </c>
      <c r="J38" s="68" t="n"/>
      <c r="K38" s="65" t="n"/>
    </row>
    <row r="39" ht="23.85" customHeight="1" s="55">
      <c r="A39" s="69" t="inlineStr">
        <is>
          <t>T29</t>
        </is>
      </c>
      <c r="B39" s="70" t="n">
        <v>46296</v>
      </c>
      <c r="C39" s="69">
        <f>TEXT(B39,"ddd")</f>
        <v/>
      </c>
      <c r="D39" s="69" t="inlineStr">
        <is>
          <t>09:05</t>
        </is>
      </c>
      <c r="E39" s="69" t="inlineStr">
        <is>
          <t>Auto</t>
        </is>
      </c>
      <c r="F39" s="69" t="inlineStr">
        <is>
          <t>OUTREACH</t>
        </is>
      </c>
      <c r="G39" s="69" t="inlineStr">
        <is>
          <t>LAUNCH - Email 1 to AROA + RCI investor relations</t>
        </is>
      </c>
      <c r="H39" s="69" t="inlineStr">
        <is>
          <t>office@aroaagency.com; gfishman@pondel.com + mwichman@pondel.com. SheX goes at 3:05 AM ET (9:05 Berlin) once the Impressum address is verified.</t>
        </is>
      </c>
      <c r="I39" s="71" t="inlineStr">
        <is>
          <t>Not started</t>
        </is>
      </c>
      <c r="J39" s="72" t="n"/>
      <c r="K39" s="69" t="n"/>
    </row>
    <row r="40" ht="15" customHeight="1" s="55">
      <c r="A40" s="69" t="inlineStr">
        <is>
          <t>T30</t>
        </is>
      </c>
      <c r="B40" s="70" t="n">
        <v>46296</v>
      </c>
      <c r="C40" s="69">
        <f>TEXT(B40,"ddd")</f>
        <v/>
      </c>
      <c r="D40" s="69" t="inlineStr">
        <is>
          <t>09:30</t>
        </is>
      </c>
      <c r="E40" s="69" t="inlineStr">
        <is>
          <t>Jim</t>
        </is>
      </c>
      <c r="F40" s="69" t="inlineStr">
        <is>
          <t>OUTREACH</t>
        </is>
      </c>
      <c r="G40" s="69" t="inlineStr">
        <is>
          <t>Submit listings: Acquire.Fi, SideProjectors, IndieMaker</t>
        </is>
      </c>
      <c r="H40" s="69" t="inlineStr">
        <is>
          <t>Same one-pager everywhere. Offers reviewed Fri Oct 16.</t>
        </is>
      </c>
      <c r="I40" s="71" t="inlineStr">
        <is>
          <t>Not started</t>
        </is>
      </c>
      <c r="J40" s="72" t="n"/>
      <c r="K40" s="69" t="n"/>
    </row>
    <row r="41" ht="23.85" customHeight="1" s="55">
      <c r="A41" s="69" t="inlineStr">
        <is>
          <t>T31</t>
        </is>
      </c>
      <c r="B41" s="70" t="n">
        <v>46296</v>
      </c>
      <c r="C41" s="69">
        <f>TEXT(B41,"ddd")</f>
        <v/>
      </c>
      <c r="D41" s="69" t="inlineStr">
        <is>
          <t>10:00</t>
        </is>
      </c>
      <c r="E41" s="69" t="inlineStr">
        <is>
          <t>Jim</t>
        </is>
      </c>
      <c r="F41" s="69" t="inlineStr">
        <is>
          <t>OUTREACH</t>
        </is>
      </c>
      <c r="G41" s="69" t="inlineStr">
        <is>
          <t>Contact forms: Creators Inc, Fanvue, Infloww, The Clueless</t>
        </is>
      </c>
      <c r="H41" s="69" t="inlineStr">
        <is>
          <t>Paste Email 1 with each company's hook (Scripts tab).</t>
        </is>
      </c>
      <c r="I41" s="71" t="inlineStr">
        <is>
          <t>Not started</t>
        </is>
      </c>
      <c r="J41" s="72" t="n"/>
      <c r="K41" s="69" t="n"/>
    </row>
    <row r="42" ht="23.85" customHeight="1" s="55">
      <c r="A42" s="69" t="inlineStr">
        <is>
          <t>T32</t>
        </is>
      </c>
      <c r="B42" s="70" t="n">
        <v>46296</v>
      </c>
      <c r="C42" s="69">
        <f>TEXT(B42,"ddd")</f>
        <v/>
      </c>
      <c r="D42" s="69" t="inlineStr">
        <is>
          <t>10:30</t>
        </is>
      </c>
      <c r="E42" s="69" t="inlineStr">
        <is>
          <t>Jim</t>
        </is>
      </c>
      <c r="F42" s="69" t="inlineStr">
        <is>
          <t>OUTREACH</t>
        </is>
      </c>
      <c r="G42" s="69" t="inlineStr">
        <is>
          <t>LinkedIn connection requests with note</t>
        </is>
      </c>
      <c r="H42" s="69" t="inlineStr">
        <is>
          <t>Monange, Fitzgerald, Morris (Fanvue); Bachman (Creators Inc); Langan (RCI); Cruz (The Clueless); Etelis (Fansly); French (ManyVids); Bouslama (Acquire.Fi).</t>
        </is>
      </c>
      <c r="I42" s="71" t="inlineStr">
        <is>
          <t>Not started</t>
        </is>
      </c>
      <c r="J42" s="72" t="n"/>
      <c r="K42" s="69" t="n"/>
    </row>
    <row r="43" ht="23.85" customHeight="1" s="55">
      <c r="A43" s="69" t="inlineStr">
        <is>
          <t>T33</t>
        </is>
      </c>
      <c r="B43" s="70" t="n">
        <v>46296</v>
      </c>
      <c r="C43" s="69">
        <f>TEXT(B43,"ddd")</f>
        <v/>
      </c>
      <c r="D43" s="69" t="inlineStr">
        <is>
          <t>12:30</t>
        </is>
      </c>
      <c r="E43" s="69" t="inlineStr">
        <is>
          <t>Jim</t>
        </is>
      </c>
      <c r="F43" s="69" t="inlineStr">
        <is>
          <t>OUTREACH</t>
        </is>
      </c>
      <c r="G43" s="69" t="inlineStr">
        <is>
          <t>DMs: Instagram, Telegram, X</t>
        </is>
      </c>
      <c r="H43" s="69" t="inlineStr">
        <is>
          <t>IG: @creatorsinc / Andy Bachman, @tonyizzet, Louna. Telegram: t.me/supercreator_app. X: @Acquire_Fi.</t>
        </is>
      </c>
      <c r="I43" s="71" t="inlineStr">
        <is>
          <t>Not started</t>
        </is>
      </c>
      <c r="J43" s="72" t="n"/>
      <c r="K43" s="69" t="n"/>
    </row>
    <row r="44" ht="15" customHeight="1" s="55">
      <c r="A44" s="65" t="inlineStr">
        <is>
          <t>T34</t>
        </is>
      </c>
      <c r="B44" s="66" t="n">
        <v>46297</v>
      </c>
      <c r="C44" s="65">
        <f>TEXT(B44,"ddd")</f>
        <v/>
      </c>
      <c r="D44" s="65" t="inlineStr">
        <is>
          <t>10:00</t>
        </is>
      </c>
      <c r="E44" s="65" t="inlineStr">
        <is>
          <t>Jim</t>
        </is>
      </c>
      <c r="F44" s="65" t="inlineStr">
        <is>
          <t>OUTREACH</t>
        </is>
      </c>
      <c r="G44" s="65" t="inlineStr">
        <is>
          <t>Reply to every response within an hour; book calls</t>
        </is>
      </c>
      <c r="H44" s="65" t="inlineStr">
        <is>
          <t>calendly.com/temptationtoken/phone-meeting. Screen-share the live app, not slides.</t>
        </is>
      </c>
      <c r="I44" s="67" t="inlineStr">
        <is>
          <t>Not started</t>
        </is>
      </c>
      <c r="J44" s="68" t="n"/>
      <c r="K44" s="65" t="n"/>
    </row>
    <row r="45" ht="15" customHeight="1" s="55">
      <c r="A45" s="65" t="inlineStr">
        <is>
          <t>T35</t>
        </is>
      </c>
      <c r="B45" s="66" t="n">
        <v>46297</v>
      </c>
      <c r="C45" s="65">
        <f>TEXT(B45,"ddd")</f>
        <v/>
      </c>
      <c r="D45" s="65" t="inlineStr">
        <is>
          <t>12:30</t>
        </is>
      </c>
      <c r="E45" s="65" t="inlineStr">
        <is>
          <t>Jim</t>
        </is>
      </c>
      <c r="F45" s="65" t="inlineStr">
        <is>
          <t>OUTREACH</t>
        </is>
      </c>
      <c r="G45" s="65" t="inlineStr">
        <is>
          <t>Telegram follow-up to AROA</t>
        </is>
      </c>
      <c r="H45" s="65" t="inlineStr">
        <is>
          <t>t.me/aroaagency1 - one line + the Loom.</t>
        </is>
      </c>
      <c r="I45" s="67" t="inlineStr">
        <is>
          <t>Not started</t>
        </is>
      </c>
      <c r="J45" s="68" t="n"/>
      <c r="K45" s="65" t="n"/>
    </row>
    <row r="46" ht="15" customHeight="1" s="55">
      <c r="A46" s="65" t="inlineStr">
        <is>
          <t>T75</t>
        </is>
      </c>
      <c r="B46" s="66" t="n">
        <v>46298</v>
      </c>
      <c r="C46" s="65">
        <f>TEXT(B46,"ddd")</f>
        <v/>
      </c>
      <c r="D46" s="65" t="inlineStr">
        <is>
          <t>10:00</t>
        </is>
      </c>
      <c r="E46" s="65" t="inlineStr">
        <is>
          <t>Claude Code</t>
        </is>
      </c>
      <c r="F46" s="65" t="inlineStr">
        <is>
          <t>SITE</t>
        </is>
      </c>
      <c r="G46" s="65" t="inlineStr">
        <is>
          <t>Optional: site rebuild on staging (same look)</t>
        </is>
      </c>
      <c r="H46" s="65" t="inlineStr">
        <is>
          <t>Only after every public claim is true. Buyers forgive a dated layout, not a false claim.</t>
        </is>
      </c>
      <c r="I46" s="67" t="inlineStr">
        <is>
          <t>Not started</t>
        </is>
      </c>
      <c r="J46" s="68" t="n"/>
      <c r="K46" s="65" t="n"/>
    </row>
    <row r="47" ht="15" customHeight="1" s="55">
      <c r="A47" s="65" t="inlineStr">
        <is>
          <t>T36</t>
        </is>
      </c>
      <c r="B47" s="66" t="n">
        <v>46300</v>
      </c>
      <c r="C47" s="65">
        <f>TEXT(B47,"ddd")</f>
        <v/>
      </c>
      <c r="D47" s="65" t="inlineStr">
        <is>
          <t>07:00</t>
        </is>
      </c>
      <c r="E47" s="65" t="inlineStr">
        <is>
          <t>Auto</t>
        </is>
      </c>
      <c r="F47" s="65" t="inlineStr">
        <is>
          <t>AI</t>
        </is>
      </c>
      <c r="G47" s="65" t="inlineStr">
        <is>
          <t>AI Models rotation #2</t>
        </is>
      </c>
      <c r="H47" s="65" t="inlineStr">
        <is>
          <t>Automatic after settlement.</t>
        </is>
      </c>
      <c r="I47" s="67" t="inlineStr">
        <is>
          <t>Not started</t>
        </is>
      </c>
      <c r="J47" s="68" t="n"/>
      <c r="K47" s="65" t="n"/>
    </row>
    <row r="48" ht="23.85" customHeight="1" s="55">
      <c r="A48" s="65" t="inlineStr">
        <is>
          <t>T37</t>
        </is>
      </c>
      <c r="B48" s="66" t="n">
        <v>46300</v>
      </c>
      <c r="C48" s="65">
        <f>TEXT(B48,"ddd")</f>
        <v/>
      </c>
      <c r="D48" s="65" t="inlineStr">
        <is>
          <t>10:00</t>
        </is>
      </c>
      <c r="E48" s="65" t="inlineStr">
        <is>
          <t>Jim</t>
        </is>
      </c>
      <c r="F48" s="65" t="inlineStr">
        <is>
          <t>OUTREACH</t>
        </is>
      </c>
      <c r="G48" s="65" t="inlineStr">
        <is>
          <t>Weekly results note to engaged buyers</t>
        </is>
      </c>
      <c r="H48" s="65" t="inlineStr">
        <is>
          <t>Round winner, votes, new creators, pool depth, card buys. Claude Code drafts it from live data.</t>
        </is>
      </c>
      <c r="I48" s="67" t="inlineStr">
        <is>
          <t>Not started</t>
        </is>
      </c>
      <c r="J48" s="68" t="n"/>
      <c r="K48" s="65" t="n"/>
    </row>
    <row r="49" ht="23.85" customHeight="1" s="55">
      <c r="A49" s="65" t="inlineStr">
        <is>
          <t>T38</t>
        </is>
      </c>
      <c r="B49" s="66" t="n">
        <v>46301</v>
      </c>
      <c r="C49" s="65">
        <f>TEXT(B49,"ddd")</f>
        <v/>
      </c>
      <c r="D49" s="65" t="inlineStr">
        <is>
          <t>09:05</t>
        </is>
      </c>
      <c r="E49" s="65" t="inlineStr">
        <is>
          <t>Auto</t>
        </is>
      </c>
      <c r="F49" s="65" t="inlineStr">
        <is>
          <t>OUTREACH</t>
        </is>
      </c>
      <c r="G49" s="65" t="inlineStr">
        <is>
          <t>Email 2 (proof + data room under NDA) to AROA + RCI IR</t>
        </is>
      </c>
      <c r="H49" s="65" t="inlineStr">
        <is>
          <t>Includes the Loom and what shipped since Oct 1.</t>
        </is>
      </c>
      <c r="I49" s="67" t="inlineStr">
        <is>
          <t>Not started</t>
        </is>
      </c>
      <c r="J49" s="68" t="n"/>
      <c r="K49" s="65" t="n"/>
    </row>
    <row r="50" ht="15" customHeight="1" s="55">
      <c r="A50" s="65" t="inlineStr">
        <is>
          <t>T39</t>
        </is>
      </c>
      <c r="B50" s="66" t="n">
        <v>46301</v>
      </c>
      <c r="C50" s="65">
        <f>TEXT(B50,"ddd")</f>
        <v/>
      </c>
      <c r="D50" s="65" t="inlineStr">
        <is>
          <t>10:00</t>
        </is>
      </c>
      <c r="E50" s="65" t="inlineStr">
        <is>
          <t>Jim</t>
        </is>
      </c>
      <c r="F50" s="65" t="inlineStr">
        <is>
          <t>OUTREACH</t>
        </is>
      </c>
      <c r="G50" s="65" t="inlineStr">
        <is>
          <t>Email 2 via LinkedIn messages and forms</t>
        </is>
      </c>
      <c r="H50" s="65" t="inlineStr">
        <is>
          <t>Same content to every accepted connection and form contact.</t>
        </is>
      </c>
      <c r="I50" s="67" t="inlineStr">
        <is>
          <t>Not started</t>
        </is>
      </c>
      <c r="J50" s="68" t="n"/>
      <c r="K50" s="65" t="n"/>
    </row>
    <row r="51" ht="23.85" customHeight="1" s="55">
      <c r="A51" s="65" t="inlineStr">
        <is>
          <t>T40</t>
        </is>
      </c>
      <c r="B51" s="66" t="n">
        <v>46302</v>
      </c>
      <c r="C51" s="65">
        <f>TEXT(B51,"ddd")</f>
        <v/>
      </c>
      <c r="D51" s="65" t="inlineStr">
        <is>
          <t>10:30</t>
        </is>
      </c>
      <c r="E51" s="65" t="inlineStr">
        <is>
          <t>Jim</t>
        </is>
      </c>
      <c r="F51" s="65" t="inlineStr">
        <is>
          <t>OUTREACH</t>
        </is>
      </c>
      <c r="G51" s="65" t="inlineStr">
        <is>
          <t>Call RCI investor relations: 212-883-0655</t>
        </is>
      </c>
      <c r="H51" s="65" t="inlineStr">
        <is>
          <t>Ask who evaluates digital partnerships or acquisitions; send a same-day recap email. Script: Scripts tab.</t>
        </is>
      </c>
      <c r="I51" s="67" t="inlineStr">
        <is>
          <t>Not started</t>
        </is>
      </c>
      <c r="J51" s="68" t="n"/>
      <c r="K51" s="65" t="n"/>
    </row>
    <row r="52" ht="15" customHeight="1" s="55">
      <c r="A52" s="65" t="inlineStr">
        <is>
          <t>T41</t>
        </is>
      </c>
      <c r="B52" s="66" t="n">
        <v>46302</v>
      </c>
      <c r="C52" s="65">
        <f>TEXT(B52,"ddd")</f>
        <v/>
      </c>
      <c r="D52" s="65" t="inlineStr">
        <is>
          <t>11:30</t>
        </is>
      </c>
      <c r="E52" s="65" t="inlineStr">
        <is>
          <t>Jim</t>
        </is>
      </c>
      <c r="F52" s="65" t="inlineStr">
        <is>
          <t>OUTREACH</t>
        </is>
      </c>
      <c r="G52" s="65" t="inlineStr">
        <is>
          <t>One-line follow-up DMs to non-responders</t>
        </is>
      </c>
      <c r="H52" s="65" t="inlineStr">
        <is>
          <t>Line + Loom link.</t>
        </is>
      </c>
      <c r="I52" s="67" t="inlineStr">
        <is>
          <t>Not started</t>
        </is>
      </c>
      <c r="J52" s="68" t="n"/>
      <c r="K52" s="65" t="n"/>
    </row>
    <row r="53" ht="23.85" customHeight="1" s="55">
      <c r="A53" s="65" t="inlineStr">
        <is>
          <t>T42</t>
        </is>
      </c>
      <c r="B53" s="66" t="n">
        <v>46303</v>
      </c>
      <c r="C53" s="65">
        <f>TEXT(B53,"ddd")</f>
        <v/>
      </c>
      <c r="D53" s="65" t="inlineStr">
        <is>
          <t>18:00</t>
        </is>
      </c>
      <c r="E53" s="65" t="inlineStr">
        <is>
          <t>Jim</t>
        </is>
      </c>
      <c r="F53" s="65" t="inlineStr">
        <is>
          <t>OUTREACH</t>
        </is>
      </c>
      <c r="G53" s="65" t="inlineStr">
        <is>
          <t>Visit 2-3 clubs from your club list with the /clubs QR</t>
        </is>
      </c>
      <c r="H53" s="65" t="inlineStr">
        <is>
          <t>Goal: signed-up clubs = demand evidence for the data room. Optional: Rick's Cabaret New York, 50 W 33rd St - ask for the GM and a corporate intro.</t>
        </is>
      </c>
      <c r="I53" s="67" t="inlineStr">
        <is>
          <t>Not started</t>
        </is>
      </c>
      <c r="J53" s="68" t="n"/>
      <c r="K53" s="65" t="n"/>
    </row>
    <row r="54" ht="23.85" customHeight="1" s="55">
      <c r="A54" s="65" t="inlineStr">
        <is>
          <t>T43</t>
        </is>
      </c>
      <c r="B54" s="66" t="n">
        <v>46304</v>
      </c>
      <c r="C54" s="65">
        <f>TEXT(B54,"ddd")</f>
        <v/>
      </c>
      <c r="D54" s="65" t="inlineStr">
        <is>
          <t>09:00</t>
        </is>
      </c>
      <c r="E54" s="65" t="inlineStr">
        <is>
          <t>Jim</t>
        </is>
      </c>
      <c r="F54" s="65" t="inlineStr">
        <is>
          <t>STORE</t>
        </is>
      </c>
      <c r="G54" s="65" t="inlineStr">
        <is>
          <t>Personal Play account: closed test hits 14 days - apply for production</t>
        </is>
      </c>
      <c r="H54" s="65" t="inlineStr">
        <is>
          <t>Answers: outputs/listings/play_production_answers.md.</t>
        </is>
      </c>
      <c r="I54" s="67" t="inlineStr">
        <is>
          <t>Not started</t>
        </is>
      </c>
      <c r="J54" s="68" t="n"/>
      <c r="K54" s="65" t="n"/>
    </row>
    <row r="55" ht="23.85" customHeight="1" s="55">
      <c r="A55" s="65" t="inlineStr">
        <is>
          <t>T44</t>
        </is>
      </c>
      <c r="B55" s="66" t="n">
        <v>46304</v>
      </c>
      <c r="C55" s="65">
        <f>TEXT(B55,"ddd")</f>
        <v/>
      </c>
      <c r="D55" s="65" t="inlineStr">
        <is>
          <t>12:00</t>
        </is>
      </c>
      <c r="E55" s="65" t="inlineStr">
        <is>
          <t>Jim</t>
        </is>
      </c>
      <c r="F55" s="65" t="inlineStr">
        <is>
          <t>AUDIT</t>
        </is>
      </c>
      <c r="G55" s="65" t="inlineStr">
        <is>
          <t>Check SolidProof status; answer any questions same day</t>
        </is>
      </c>
      <c r="H55" s="65" t="n"/>
      <c r="I55" s="67" t="inlineStr">
        <is>
          <t>Not started</t>
        </is>
      </c>
      <c r="J55" s="68" t="n"/>
      <c r="K55" s="65" t="n"/>
    </row>
    <row r="56" ht="15" customHeight="1" s="55">
      <c r="A56" s="65" t="inlineStr">
        <is>
          <t>T45</t>
        </is>
      </c>
      <c r="B56" s="66" t="n">
        <v>46307</v>
      </c>
      <c r="C56" s="65">
        <f>TEXT(B56,"ddd")</f>
        <v/>
      </c>
      <c r="D56" s="65" t="inlineStr">
        <is>
          <t>07:00</t>
        </is>
      </c>
      <c r="E56" s="65" t="inlineStr">
        <is>
          <t>Auto</t>
        </is>
      </c>
      <c r="F56" s="65" t="inlineStr">
        <is>
          <t>AI</t>
        </is>
      </c>
      <c r="G56" s="65" t="inlineStr">
        <is>
          <t>AI Models rotation #3</t>
        </is>
      </c>
      <c r="H56" s="65" t="inlineStr">
        <is>
          <t>Automatic after settlement.</t>
        </is>
      </c>
      <c r="I56" s="67" t="inlineStr">
        <is>
          <t>Not started</t>
        </is>
      </c>
      <c r="J56" s="68" t="n"/>
      <c r="K56" s="65" t="n"/>
    </row>
    <row r="57" ht="15" customHeight="1" s="55">
      <c r="A57" s="65" t="inlineStr">
        <is>
          <t>T46</t>
        </is>
      </c>
      <c r="B57" s="66" t="n">
        <v>46307</v>
      </c>
      <c r="C57" s="65">
        <f>TEXT(B57,"ddd")</f>
        <v/>
      </c>
      <c r="D57" s="65" t="inlineStr">
        <is>
          <t>09:05</t>
        </is>
      </c>
      <c r="E57" s="65" t="inlineStr">
        <is>
          <t>Auto</t>
        </is>
      </c>
      <c r="F57" s="65" t="inlineStr">
        <is>
          <t>OUTREACH</t>
        </is>
      </c>
      <c r="G57" s="65" t="inlineStr">
        <is>
          <t>Email 3 ('offers reviewed Friday') to AROA + RCI IR</t>
        </is>
      </c>
      <c r="H57" s="65" t="inlineStr">
        <is>
          <t>Jim sends the same note via LinkedIn/forms at 10:00.</t>
        </is>
      </c>
      <c r="I57" s="67" t="inlineStr">
        <is>
          <t>Not started</t>
        </is>
      </c>
      <c r="J57" s="68" t="n"/>
      <c r="K57" s="65" t="n"/>
    </row>
    <row r="58" ht="23.85" customHeight="1" s="55">
      <c r="A58" s="65" t="inlineStr">
        <is>
          <t>T47</t>
        </is>
      </c>
      <c r="B58" s="66" t="n">
        <v>46308</v>
      </c>
      <c r="C58" s="65">
        <f>TEXT(B58,"ddd")</f>
        <v/>
      </c>
      <c r="D58" s="65" t="inlineStr">
        <is>
          <t>10:00</t>
        </is>
      </c>
      <c r="E58" s="65" t="inlineStr">
        <is>
          <t>Jim</t>
        </is>
      </c>
      <c r="F58" s="65" t="inlineStr">
        <is>
          <t>DATA</t>
        </is>
      </c>
      <c r="G58" s="65" t="inlineStr">
        <is>
          <t>Open the data room to every buyer who signed the NDA</t>
        </is>
      </c>
      <c r="H58" s="65" t="inlineStr">
        <is>
          <t>Track who opened what - interest signal.</t>
        </is>
      </c>
      <c r="I58" s="67" t="inlineStr">
        <is>
          <t>Not started</t>
        </is>
      </c>
      <c r="J58" s="68" t="n"/>
      <c r="K58" s="65" t="n"/>
    </row>
    <row r="59" ht="23.85" customHeight="1" s="55">
      <c r="A59" s="65" t="inlineStr">
        <is>
          <t>T48</t>
        </is>
      </c>
      <c r="B59" s="66" t="n">
        <v>46309</v>
      </c>
      <c r="C59" s="65">
        <f>TEXT(B59,"ddd")</f>
        <v/>
      </c>
      <c r="D59" s="65" t="inlineStr">
        <is>
          <t>12:00</t>
        </is>
      </c>
      <c r="E59" s="65" t="inlineStr">
        <is>
          <t>Claude Code</t>
        </is>
      </c>
      <c r="F59" s="65" t="inlineStr">
        <is>
          <t>AUDIT</t>
        </is>
      </c>
      <c r="G59" s="65" t="inlineStr">
        <is>
          <t>Refresh the /audit status table (every finding vs. the deployed code)</t>
        </is>
      </c>
      <c r="H59" s="65" t="inlineStr">
        <is>
          <t>Replaces the 'publish a new audit' step - no pre-sale audit purchase.</t>
        </is>
      </c>
      <c r="I59" s="67" t="inlineStr">
        <is>
          <t>Not started</t>
        </is>
      </c>
      <c r="J59" s="68" t="n"/>
      <c r="K59" s="65" t="n"/>
    </row>
    <row r="60" ht="15" customHeight="1" s="55">
      <c r="A60" s="65" t="inlineStr">
        <is>
          <t>T49</t>
        </is>
      </c>
      <c r="B60" s="66" t="n">
        <v>46310</v>
      </c>
      <c r="C60" s="65">
        <f>TEXT(B60,"ddd")</f>
        <v/>
      </c>
      <c r="D60" s="65" t="inlineStr">
        <is>
          <t>17:00</t>
        </is>
      </c>
      <c r="E60" s="65" t="inlineStr">
        <is>
          <t>Jim</t>
        </is>
      </c>
      <c r="F60" s="65" t="inlineStr">
        <is>
          <t>OUTREACH</t>
        </is>
      </c>
      <c r="G60" s="65" t="inlineStr">
        <is>
          <t>Last-call note to engaged buyers</t>
        </is>
      </c>
      <c r="H60" s="65" t="inlineStr">
        <is>
          <t>'Reviewing offers tomorrow at 5 PM ET.'</t>
        </is>
      </c>
      <c r="I60" s="67" t="inlineStr">
        <is>
          <t>Not started</t>
        </is>
      </c>
      <c r="J60" s="68" t="n"/>
      <c r="K60" s="65" t="n"/>
    </row>
    <row r="61" ht="23.85" customHeight="1" s="55">
      <c r="A61" s="69" t="inlineStr">
        <is>
          <t>T50</t>
        </is>
      </c>
      <c r="B61" s="70" t="n">
        <v>46311</v>
      </c>
      <c r="C61" s="69">
        <f>TEXT(B61,"ddd")</f>
        <v/>
      </c>
      <c r="D61" s="69" t="inlineStr">
        <is>
          <t>17:00</t>
        </is>
      </c>
      <c r="E61" s="69" t="inlineStr">
        <is>
          <t>Jim + Mike</t>
        </is>
      </c>
      <c r="F61" s="69" t="inlineStr">
        <is>
          <t>CLOSE</t>
        </is>
      </c>
      <c r="G61" s="69" t="inlineStr">
        <is>
          <t>OFFERS REVIEW</t>
        </is>
      </c>
      <c r="H61" s="69" t="inlineStr">
        <is>
          <t>Rank by total value, cash at close, earn-out terms, certainty, speed. Best structure beats biggest headline.</t>
        </is>
      </c>
      <c r="I61" s="71" t="inlineStr">
        <is>
          <t>Not started</t>
        </is>
      </c>
      <c r="J61" s="72" t="n"/>
      <c r="K61" s="69" t="n"/>
    </row>
    <row r="62" ht="15" customHeight="1" s="55">
      <c r="A62" s="65" t="inlineStr">
        <is>
          <t>T51</t>
        </is>
      </c>
      <c r="B62" s="66" t="n">
        <v>46314</v>
      </c>
      <c r="C62" s="65">
        <f>TEXT(B62,"ddd")</f>
        <v/>
      </c>
      <c r="D62" s="65" t="inlineStr">
        <is>
          <t>07:00</t>
        </is>
      </c>
      <c r="E62" s="65" t="inlineStr">
        <is>
          <t>Auto</t>
        </is>
      </c>
      <c r="F62" s="65" t="inlineStr">
        <is>
          <t>AI</t>
        </is>
      </c>
      <c r="G62" s="65" t="inlineStr">
        <is>
          <t>AI Models rotation #4</t>
        </is>
      </c>
      <c r="H62" s="65" t="inlineStr">
        <is>
          <t>Automatic after settlement.</t>
        </is>
      </c>
      <c r="I62" s="67" t="inlineStr">
        <is>
          <t>Not started</t>
        </is>
      </c>
      <c r="J62" s="68" t="n"/>
      <c r="K62" s="65" t="n"/>
    </row>
    <row r="63" ht="15" customHeight="1" s="55">
      <c r="A63" s="65" t="inlineStr">
        <is>
          <t>T52</t>
        </is>
      </c>
      <c r="B63" s="66" t="n">
        <v>46314</v>
      </c>
      <c r="C63" s="65">
        <f>TEXT(B63,"ddd")</f>
        <v/>
      </c>
      <c r="D63" s="65" t="inlineStr">
        <is>
          <t>10:00</t>
        </is>
      </c>
      <c r="E63" s="65" t="inlineStr">
        <is>
          <t>Jim</t>
        </is>
      </c>
      <c r="F63" s="65" t="inlineStr">
        <is>
          <t>CLOSE</t>
        </is>
      </c>
      <c r="G63" s="65" t="inlineStr">
        <is>
          <t>Counter/accept, sign the LOI, engage the lawyer</t>
        </is>
      </c>
      <c r="H63" s="65" t="inlineStr">
        <is>
          <t>Asset purchase vs. LLC purchase per CPA advice.</t>
        </is>
      </c>
      <c r="I63" s="67" t="inlineStr">
        <is>
          <t>Not started</t>
        </is>
      </c>
      <c r="J63" s="68" t="n"/>
      <c r="K63" s="65" t="n"/>
    </row>
    <row r="64" ht="15" customHeight="1" s="55">
      <c r="A64" s="65" t="inlineStr">
        <is>
          <t>T53</t>
        </is>
      </c>
      <c r="B64" s="66" t="n">
        <v>46316</v>
      </c>
      <c r="C64" s="65">
        <f>TEXT(B64,"ddd")</f>
        <v/>
      </c>
      <c r="D64" s="65" t="inlineStr">
        <is>
          <t>10:00</t>
        </is>
      </c>
      <c r="E64" s="65" t="inlineStr">
        <is>
          <t>Jim</t>
        </is>
      </c>
      <c r="F64" s="65" t="inlineStr">
        <is>
          <t>CLOSE</t>
        </is>
      </c>
      <c r="G64" s="65" t="inlineStr">
        <is>
          <t>Open escrow; buyer deposit</t>
        </is>
      </c>
      <c r="H64" s="65" t="n"/>
      <c r="I64" s="67" t="inlineStr">
        <is>
          <t>Not started</t>
        </is>
      </c>
      <c r="J64" s="68" t="n"/>
      <c r="K64" s="65" t="n"/>
    </row>
    <row r="65" ht="15" customHeight="1" s="55">
      <c r="A65" s="65" t="inlineStr">
        <is>
          <t>T54</t>
        </is>
      </c>
      <c r="B65" s="66" t="n">
        <v>46318</v>
      </c>
      <c r="C65" s="65">
        <f>TEXT(B65,"ddd")</f>
        <v/>
      </c>
      <c r="D65" s="65" t="inlineStr">
        <is>
          <t>10:00</t>
        </is>
      </c>
      <c r="E65" s="65" t="inlineStr">
        <is>
          <t>Jim</t>
        </is>
      </c>
      <c r="F65" s="65" t="inlineStr">
        <is>
          <t>CLOSE</t>
        </is>
      </c>
      <c r="G65" s="65" t="inlineStr">
        <is>
          <t>Buyer diligence Q&amp;A session</t>
        </is>
      </c>
      <c r="H65" s="65" t="inlineStr">
        <is>
          <t>Data room + live walkthrough.</t>
        </is>
      </c>
      <c r="I65" s="67" t="inlineStr">
        <is>
          <t>Not started</t>
        </is>
      </c>
      <c r="J65" s="68" t="n"/>
      <c r="K65" s="65" t="n"/>
    </row>
    <row r="66" ht="23.85" customHeight="1" s="55">
      <c r="A66" s="65" t="inlineStr">
        <is>
          <t>T55</t>
        </is>
      </c>
      <c r="B66" s="66" t="n">
        <v>46320</v>
      </c>
      <c r="C66" s="65">
        <f>TEXT(B66,"ddd")</f>
        <v/>
      </c>
      <c r="D66" s="65" t="inlineStr">
        <is>
          <t>09:00</t>
        </is>
      </c>
      <c r="E66" s="65" t="inlineStr">
        <is>
          <t>Jim</t>
        </is>
      </c>
      <c r="F66" s="65" t="inlineStr">
        <is>
          <t>OPS</t>
        </is>
      </c>
      <c r="G66" s="65" t="inlineStr">
        <is>
          <t>Clock change: UK/EU fell back - London is ET+4 until Nov 1</t>
        </is>
      </c>
      <c r="H66" s="65" t="n"/>
      <c r="I66" s="67" t="inlineStr">
        <is>
          <t>Not started</t>
        </is>
      </c>
      <c r="J66" s="68" t="n"/>
      <c r="K66" s="65" t="n"/>
    </row>
    <row r="67" ht="15" customHeight="1" s="55">
      <c r="A67" s="65" t="inlineStr">
        <is>
          <t>T56</t>
        </is>
      </c>
      <c r="B67" s="66" t="n">
        <v>46321</v>
      </c>
      <c r="C67" s="65">
        <f>TEXT(B67,"ddd")</f>
        <v/>
      </c>
      <c r="D67" s="65" t="inlineStr">
        <is>
          <t>07:00</t>
        </is>
      </c>
      <c r="E67" s="65" t="inlineStr">
        <is>
          <t>Auto</t>
        </is>
      </c>
      <c r="F67" s="65" t="inlineStr">
        <is>
          <t>AI</t>
        </is>
      </c>
      <c r="G67" s="65" t="inlineStr">
        <is>
          <t>AI Models rotation #5</t>
        </is>
      </c>
      <c r="H67" s="65" t="inlineStr">
        <is>
          <t>Automatic after settlement.</t>
        </is>
      </c>
      <c r="I67" s="67" t="inlineStr">
        <is>
          <t>Not started</t>
        </is>
      </c>
      <c r="J67" s="68" t="n"/>
      <c r="K67" s="65" t="n"/>
    </row>
    <row r="68" ht="15" customHeight="1" s="55">
      <c r="A68" s="65" t="inlineStr">
        <is>
          <t>T57</t>
        </is>
      </c>
      <c r="B68" s="66" t="n">
        <v>46321</v>
      </c>
      <c r="C68" s="65">
        <f>TEXT(B68,"ddd")</f>
        <v/>
      </c>
      <c r="D68" s="65" t="inlineStr">
        <is>
          <t>10:00</t>
        </is>
      </c>
      <c r="E68" s="65" t="inlineStr">
        <is>
          <t>Claude Code</t>
        </is>
      </c>
      <c r="F68" s="65" t="inlineStr">
        <is>
          <t>CLOSE</t>
        </is>
      </c>
      <c r="G68" s="65" t="inlineStr">
        <is>
          <t>Transfer rehearsal on a fork</t>
        </is>
      </c>
      <c r="H68" s="65" t="inlineStr">
        <is>
          <t>Safe owner swap, role moves, bot transfer checklist, project transfers - dry run.</t>
        </is>
      </c>
      <c r="I68" s="67" t="inlineStr">
        <is>
          <t>Not started</t>
        </is>
      </c>
      <c r="J68" s="68" t="n"/>
      <c r="K68" s="65" t="n"/>
    </row>
    <row r="69" ht="15" customHeight="1" s="55">
      <c r="A69" s="65" t="inlineStr">
        <is>
          <t>T58</t>
        </is>
      </c>
      <c r="B69" s="66" t="n">
        <v>46323</v>
      </c>
      <c r="C69" s="65">
        <f>TEXT(B69,"ddd")</f>
        <v/>
      </c>
      <c r="D69" s="65" t="inlineStr">
        <is>
          <t>10:00</t>
        </is>
      </c>
      <c r="E69" s="65" t="inlineStr">
        <is>
          <t>Jim + Mike</t>
        </is>
      </c>
      <c r="F69" s="65" t="inlineStr">
        <is>
          <t>CLOSE</t>
        </is>
      </c>
      <c r="G69" s="65" t="inlineStr">
        <is>
          <t>Sign the purchase agreement</t>
        </is>
      </c>
      <c r="H69" s="65" t="n"/>
      <c r="I69" s="67" t="inlineStr">
        <is>
          <t>Not started</t>
        </is>
      </c>
      <c r="J69" s="68" t="n"/>
      <c r="K69" s="65" t="n"/>
    </row>
    <row r="70" ht="15" customHeight="1" s="55">
      <c r="A70" s="65" t="inlineStr">
        <is>
          <t>T59</t>
        </is>
      </c>
      <c r="B70" s="66" t="n">
        <v>46327</v>
      </c>
      <c r="C70" s="65">
        <f>TEXT(B70,"ddd")</f>
        <v/>
      </c>
      <c r="D70" s="65" t="inlineStr">
        <is>
          <t>09:00</t>
        </is>
      </c>
      <c r="E70" s="65" t="inlineStr">
        <is>
          <t>Jim</t>
        </is>
      </c>
      <c r="F70" s="65" t="inlineStr">
        <is>
          <t>OPS</t>
        </is>
      </c>
      <c r="G70" s="65" t="inlineStr">
        <is>
          <t>Clock change: US fell back - all times now EST</t>
        </is>
      </c>
      <c r="H70" s="65" t="n"/>
      <c r="I70" s="67" t="inlineStr">
        <is>
          <t>Not started</t>
        </is>
      </c>
      <c r="J70" s="68" t="n"/>
      <c r="K70" s="65" t="n"/>
    </row>
    <row r="71" ht="15" customHeight="1" s="55">
      <c r="A71" s="65" t="inlineStr">
        <is>
          <t>T60</t>
        </is>
      </c>
      <c r="B71" s="66" t="n">
        <v>46328</v>
      </c>
      <c r="C71" s="65">
        <f>TEXT(B71,"ddd")</f>
        <v/>
      </c>
      <c r="D71" s="65" t="inlineStr">
        <is>
          <t>07:00</t>
        </is>
      </c>
      <c r="E71" s="65" t="inlineStr">
        <is>
          <t>Auto</t>
        </is>
      </c>
      <c r="F71" s="65" t="inlineStr">
        <is>
          <t>AI</t>
        </is>
      </c>
      <c r="G71" s="65" t="inlineStr">
        <is>
          <t>AI Models rotation #6 (skip if closed)</t>
        </is>
      </c>
      <c r="H71" s="65" t="n"/>
      <c r="I71" s="67" t="inlineStr">
        <is>
          <t>Not started</t>
        </is>
      </c>
      <c r="J71" s="68" t="n"/>
      <c r="K71" s="65" t="n"/>
    </row>
    <row r="72" ht="15" customHeight="1" s="55">
      <c r="A72" s="65" t="inlineStr">
        <is>
          <t>T61</t>
        </is>
      </c>
      <c r="B72" s="66" t="n">
        <v>46328</v>
      </c>
      <c r="C72" s="65">
        <f>TEXT(B72,"ddd")</f>
        <v/>
      </c>
      <c r="D72" s="65" t="inlineStr">
        <is>
          <t>10:00</t>
        </is>
      </c>
      <c r="E72" s="65" t="inlineStr">
        <is>
          <t>Jim</t>
        </is>
      </c>
      <c r="F72" s="65" t="inlineStr">
        <is>
          <t>CLOSE</t>
        </is>
      </c>
      <c r="G72" s="65" t="inlineStr">
        <is>
          <t>Escrow funded - start transfers per the runbook</t>
        </is>
      </c>
      <c r="H72" s="65" t="inlineStr">
        <is>
          <t>Closing tab, in order.</t>
        </is>
      </c>
      <c r="I72" s="67" t="inlineStr">
        <is>
          <t>Not started</t>
        </is>
      </c>
      <c r="J72" s="68" t="n"/>
      <c r="K72" s="65" t="n"/>
    </row>
    <row r="73" ht="23.85" customHeight="1" s="55">
      <c r="A73" s="65" t="inlineStr">
        <is>
          <t>T62</t>
        </is>
      </c>
      <c r="B73" s="66" t="n">
        <v>46329</v>
      </c>
      <c r="C73" s="65">
        <f>TEXT(B73,"ddd")</f>
        <v/>
      </c>
      <c r="D73" s="65" t="inlineStr">
        <is>
          <t>10:00</t>
        </is>
      </c>
      <c r="E73" s="65" t="inlineStr">
        <is>
          <t>Jim + Mike</t>
        </is>
      </c>
      <c r="F73" s="65" t="inlineStr">
        <is>
          <t>CLOSE</t>
        </is>
      </c>
      <c r="G73" s="65" t="inlineStr">
        <is>
          <t>Transfers day 1: Safe owner swap + roles + treasury to buyer wallets</t>
        </is>
      </c>
      <c r="H73" s="65" t="inlineStr">
        <is>
          <t>Onchain moves only - never hand over keys or seed phrases.</t>
        </is>
      </c>
      <c r="I73" s="67" t="inlineStr">
        <is>
          <t>Not started</t>
        </is>
      </c>
      <c r="J73" s="68" t="n"/>
      <c r="K73" s="65" t="n"/>
    </row>
    <row r="74" ht="23.85" customHeight="1" s="55">
      <c r="A74" s="65" t="inlineStr">
        <is>
          <t>T63</t>
        </is>
      </c>
      <c r="B74" s="66" t="n">
        <v>46330</v>
      </c>
      <c r="C74" s="65">
        <f>TEXT(B74,"ddd")</f>
        <v/>
      </c>
      <c r="D74" s="65" t="inlineStr">
        <is>
          <t>10:00</t>
        </is>
      </c>
      <c r="E74" s="65" t="inlineStr">
        <is>
          <t>Jim</t>
        </is>
      </c>
      <c r="F74" s="65" t="inlineStr">
        <is>
          <t>CLOSE</t>
        </is>
      </c>
      <c r="G74" s="65" t="inlineStr">
        <is>
          <t>Transfers day 2: domains, hosting, repo, cloud projects, Expo/Play, Telegram bot</t>
        </is>
      </c>
      <c r="H74" s="65" t="n"/>
      <c r="I74" s="67" t="inlineStr">
        <is>
          <t>Not started</t>
        </is>
      </c>
      <c r="J74" s="68" t="n"/>
      <c r="K74" s="65" t="n"/>
    </row>
    <row r="75" ht="23.85" customHeight="1" s="55">
      <c r="A75" s="65" t="inlineStr">
        <is>
          <t>T64</t>
        </is>
      </c>
      <c r="B75" s="66" t="n">
        <v>46331</v>
      </c>
      <c r="C75" s="65">
        <f>TEXT(B75,"ddd")</f>
        <v/>
      </c>
      <c r="D75" s="65" t="inlineStr">
        <is>
          <t>10:00</t>
        </is>
      </c>
      <c r="E75" s="65" t="inlineStr">
        <is>
          <t>Claude Code</t>
        </is>
      </c>
      <c r="F75" s="65" t="inlineStr">
        <is>
          <t>CLOSE</t>
        </is>
      </c>
      <c r="G75" s="65" t="inlineStr">
        <is>
          <t>Rotate every key and secret; verify buyer controls everything</t>
        </is>
      </c>
      <c r="H75" s="65" t="n"/>
      <c r="I75" s="67" t="inlineStr">
        <is>
          <t>Not started</t>
        </is>
      </c>
      <c r="J75" s="68" t="n"/>
      <c r="K75" s="65" t="n"/>
    </row>
    <row r="76" ht="15" customHeight="1" s="55">
      <c r="A76" s="65" t="inlineStr">
        <is>
          <t>T65</t>
        </is>
      </c>
      <c r="B76" s="66" t="n">
        <v>46332</v>
      </c>
      <c r="C76" s="65">
        <f>TEXT(B76,"ddd")</f>
        <v/>
      </c>
      <c r="D76" s="65" t="inlineStr">
        <is>
          <t>12:00</t>
        </is>
      </c>
      <c r="E76" s="65" t="inlineStr">
        <is>
          <t>Jim</t>
        </is>
      </c>
      <c r="F76" s="65" t="inlineStr">
        <is>
          <t>CLOSE</t>
        </is>
      </c>
      <c r="G76" s="65" t="inlineStr">
        <is>
          <t>Buyer confirms receipt - escrow releases funds</t>
        </is>
      </c>
      <c r="H76" s="65" t="inlineStr">
        <is>
          <t>Sale closed.</t>
        </is>
      </c>
      <c r="I76" s="67" t="inlineStr">
        <is>
          <t>Not started</t>
        </is>
      </c>
      <c r="J76" s="68" t="n"/>
      <c r="K76" s="65" t="n"/>
    </row>
  </sheetData>
  <autoFilter ref="A1:K76"/>
  <dataValidations count="1">
    <dataValidation sqref="I2:I76" showDropDown="0" showInputMessage="0" showErrorMessage="0" allowBlank="1" type="list" errorStyle="stop" operator="between">
      <formula1>"Not started,In progress,Done,Blocked,Skipped"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54" min="1" max="2"/>
    <col width="22" customWidth="1" style="54" min="3" max="3"/>
    <col width="26" customWidth="1" style="54" min="4" max="4"/>
    <col width="24" customWidth="1" style="54" min="5" max="5"/>
    <col width="28" customWidth="1" style="54" min="6" max="6"/>
    <col width="22" customWidth="1" style="54" min="7" max="7"/>
    <col width="40" customWidth="1" style="54" min="8" max="9"/>
    <col width="28" customWidth="1" style="54" min="10" max="10"/>
    <col width="48" customWidth="1" style="54" min="11" max="11"/>
    <col width="44" customWidth="1" style="54" min="12" max="12"/>
    <col width="30" customWidth="1" style="54" min="13" max="13"/>
    <col width="26" customWidth="1" style="54" min="14" max="14"/>
    <col width="44" customWidth="1" style="54" min="15" max="15"/>
    <col width="22" customWidth="1" style="54" min="16" max="16"/>
    <col width="14" customWidth="1" style="54" min="17" max="17"/>
    <col width="24" customWidth="1" style="54" min="18" max="18"/>
    <col width="10" customWidth="1" style="54" min="19" max="19"/>
  </cols>
  <sheetData>
    <row r="1" ht="15" customHeight="1" s="55">
      <c r="A1" s="64" t="inlineStr">
        <is>
          <t>ID</t>
        </is>
      </c>
      <c r="B1" s="64" t="inlineStr">
        <is>
          <t>Tier</t>
        </is>
      </c>
      <c r="C1" s="64" t="inlineStr">
        <is>
          <t>Company</t>
        </is>
      </c>
      <c r="D1" s="64" t="inlineStr">
        <is>
          <t>Category</t>
        </is>
      </c>
      <c r="E1" s="64" t="inlineStr">
        <is>
          <t>HQ / time zone</t>
        </is>
      </c>
      <c r="F1" s="64" t="inlineStr">
        <is>
          <t>Decision-maker(s) (public)</t>
        </is>
      </c>
      <c r="G1" s="64" t="inlineStr">
        <is>
          <t>Title</t>
        </is>
      </c>
      <c r="H1" s="64" t="inlineStr">
        <is>
          <t>Verified business contact (published)</t>
        </is>
      </c>
      <c r="I1" s="64" t="inlineStr">
        <is>
          <t>Other routes</t>
        </is>
      </c>
      <c r="J1" s="64" t="inlineStr">
        <is>
          <t>Visit / in person</t>
        </is>
      </c>
      <c r="K1" s="64" t="inlineStr">
        <is>
          <t>Why they buy (strength framing)</t>
        </is>
      </c>
      <c r="L1" s="64" t="inlineStr">
        <is>
          <t>Opening hook</t>
        </is>
      </c>
      <c r="M1" s="64" t="inlineStr">
        <is>
          <t>Structure to lead with</t>
        </is>
      </c>
      <c r="N1" s="64" t="inlineStr">
        <is>
          <t>Outreach law</t>
        </is>
      </c>
      <c r="O1" s="64" t="inlineStr">
        <is>
          <t>Source(s)</t>
        </is>
      </c>
      <c r="P1" s="64" t="inlineStr">
        <is>
          <t>Verified?</t>
        </is>
      </c>
      <c r="Q1" s="64" t="inlineStr">
        <is>
          <t>Status</t>
        </is>
      </c>
      <c r="R1" s="64" t="inlineStr">
        <is>
          <t>Next step</t>
        </is>
      </c>
      <c r="S1" s="64" t="inlineStr">
        <is>
          <t>Next date</t>
        </is>
      </c>
    </row>
    <row r="2" ht="46.25" customHeight="1" s="55">
      <c r="A2" s="73" t="inlineStr">
        <is>
          <t>A1</t>
        </is>
      </c>
      <c r="B2" s="73" t="n">
        <v>1</v>
      </c>
      <c r="C2" s="73" t="inlineStr">
        <is>
          <t>Fanvue</t>
        </is>
      </c>
      <c r="D2" s="73" t="inlineStr">
        <is>
          <t>Fan platform - AI-creator category leader</t>
        </is>
      </c>
      <c r="E2" s="73" t="inlineStr">
        <is>
          <t>London (Canary Wharf) - ET+5 until Oct 25, then ET+4 until Nov 1</t>
        </is>
      </c>
      <c r="F2" s="73" t="inlineStr">
        <is>
          <t>Will Monange; Harry Fitzgerald; Joel Morris</t>
        </is>
      </c>
      <c r="G2" s="73" t="inlineStr">
        <is>
          <t>Co-founder &amp; CEO; Co-founder &amp; COO; Co-founder</t>
        </is>
      </c>
      <c r="H2" s="74" t="inlineStr">
        <is>
          <t>Business email not published in the sources checked</t>
        </is>
      </c>
      <c r="I2" s="73" t="inlineStr">
        <is>
          <t>LinkedIn (all three founders); fanvue.com business contact; public developer API (integration angle)</t>
        </is>
      </c>
      <c r="J2" s="73" t="inlineStr">
        <is>
          <t>London HQ by appointment; XBIZ LA Jan 7-10, 2027</t>
        </is>
      </c>
      <c r="K2" s="73" t="inlineStr">
        <is>
          <t>Built its growth on AI creators and runs the Miss AI pageant - TTS is a weekly onchain fan vote with a disclosed AI Models division next to verified creators, ready to plug into Fanvue's public API.</t>
        </is>
      </c>
      <c r="L2" s="73" t="inlineStr">
        <is>
          <t>Miss AI proved fans will vote on AI creators. We run that vote every week, onchain, with an AI Models division beside verified creators.</t>
        </is>
      </c>
      <c r="M2" s="73" t="inlineStr">
        <is>
          <t>Cash + earn-out tied to creators onboarded; or tech acquisition + 60-day consulting</t>
        </is>
      </c>
      <c r="N2" s="73" t="inlineStr">
        <is>
          <t>UK PECR B2B: identify yourself, give an opt-out</t>
        </is>
      </c>
      <c r="O2" s="73" t="inlineStr">
        <is>
          <t>BusinessWire Jan 12 2026 (Series A, founders' titles); Las Vegas Sun Jul 10 2026 ($200M run rate, CEO); Wikipedia/Fanvue (AI creators, Miss AI, public API 2025)</t>
        </is>
      </c>
      <c r="P2" s="73" t="inlineStr">
        <is>
          <t>Names/titles: yes. Email/phone: not published</t>
        </is>
      </c>
      <c r="Q2" s="75" t="inlineStr">
        <is>
          <t>Not contacted</t>
        </is>
      </c>
      <c r="R2" s="73" t="n"/>
      <c r="S2" s="76" t="n"/>
    </row>
    <row r="3" ht="35.05" customHeight="1" s="55">
      <c r="A3" s="73" t="inlineStr">
        <is>
          <t>A2</t>
        </is>
      </c>
      <c r="B3" s="73" t="n">
        <v>1</v>
      </c>
      <c r="C3" s="73" t="inlineStr">
        <is>
          <t>Creators Inc</t>
        </is>
      </c>
      <c r="D3" s="73" t="inlineStr">
        <is>
          <t>OnlyFans management agency - largest roster found</t>
        </is>
      </c>
      <c r="E3" s="73" t="inlineStr">
        <is>
          <t>Miami, FL - ET</t>
        </is>
      </c>
      <c r="F3" s="73" t="inlineStr">
        <is>
          <t>Andrew (Andy) Bachman</t>
        </is>
      </c>
      <c r="G3" s="73" t="inlineStr">
        <is>
          <t>Founder &amp; CEO</t>
        </is>
      </c>
      <c r="H3" s="74" t="inlineStr">
        <is>
          <t>Not published (site uses a contact form)</t>
        </is>
      </c>
      <c r="I3" s="73" t="inlineStr">
        <is>
          <t>creatorsinc.com/contact form; Instagram @creatorsinc; weekly podcast (guest pitch); FL Sunbiz for the principal address (direct mail)</t>
        </is>
      </c>
      <c r="J3" s="73" t="inlineStr">
        <is>
          <t>Miami Swim Week - CI Swimwear show (late May/early June)</t>
        </is>
      </c>
      <c r="K3" s="73" t="inlineStr">
        <is>
          <t>400+ creators. Owning the vote means owning a weekly traffic event for the entire roster instead of renting attention.</t>
        </is>
      </c>
      <c r="L3" s="73" t="inlineStr">
        <is>
          <t>Your roster is the biggest audience in the category. The platform that turns it into a weekly event is built and running.</t>
        </is>
      </c>
      <c r="M3" s="73" t="inlineStr">
        <is>
          <t>Cash + earn-out; or equity partnership</t>
        </is>
      </c>
      <c r="N3" s="73" t="inlineStr">
        <is>
          <t>US CAN-SPAM</t>
        </is>
      </c>
      <c r="O3" s="73" t="inlineStr">
        <is>
          <t>Sept 19 workbook (creatorsinc.com; Supercreator directory)</t>
        </is>
      </c>
      <c r="P3" s="73" t="inlineStr">
        <is>
          <t>Name/title: yes. Email: not published</t>
        </is>
      </c>
      <c r="Q3" s="75" t="inlineStr">
        <is>
          <t>Not contacted</t>
        </is>
      </c>
      <c r="R3" s="73" t="n"/>
      <c r="S3" s="76" t="n"/>
    </row>
    <row r="4" ht="35.05" customHeight="1" s="55">
      <c r="A4" s="73" t="inlineStr">
        <is>
          <t>A3</t>
        </is>
      </c>
      <c r="B4" s="73" t="n">
        <v>1</v>
      </c>
      <c r="C4" s="73" t="inlineStr">
        <is>
          <t>AROA Agency</t>
        </is>
      </c>
      <c r="D4" s="73" t="inlineStr">
        <is>
          <t>OnlyFans management agency (multi-country)</t>
        </is>
      </c>
      <c r="E4" s="73" t="inlineStr">
        <is>
          <t>Miami, FL (HQ) - ET</t>
        </is>
      </c>
      <c r="F4" s="73" t="inlineStr">
        <is>
          <t>Not published - ask office@ for the partnerships lead by name</t>
        </is>
      </c>
      <c r="G4" s="73" t="inlineStr">
        <is>
          <t>-</t>
        </is>
      </c>
      <c r="H4" s="73" t="inlineStr">
        <is>
          <t>office@aroaagency.com (site footer, verified Sept 2026); 8101 Biscayne Blvd, Ph 703-24, Miami, FL 33138</t>
        </is>
      </c>
      <c r="I4" s="73" t="inlineStr">
        <is>
          <t>Telegram t.me/aroaagency1; aroaagency.com/uk/contact</t>
        </is>
      </c>
      <c r="J4" s="73" t="inlineStr">
        <is>
          <t>XBIZ / AVN (attends)</t>
        </is>
      </c>
      <c r="K4" s="73" t="inlineStr">
        <is>
          <t>Refer-Creators program = referral economics; TTS pays referral rewards onchain every week across a multilingual roster.</t>
        </is>
      </c>
      <c r="L4" s="73" t="inlineStr">
        <is>
          <t>Your Refer-Creators program already runs on referral economics - this runs it onchain, weekly, for every creator you place.</t>
        </is>
      </c>
      <c r="M4" s="73" t="inlineStr">
        <is>
          <t>Cash + earn-out</t>
        </is>
      </c>
      <c r="N4" s="73" t="inlineStr">
        <is>
          <t>US CAN-SPAM</t>
        </is>
      </c>
      <c r="O4" s="73" t="inlineStr">
        <is>
          <t>aroaagency.com/uk (Sept 19 verification)</t>
        </is>
      </c>
      <c r="P4" s="73" t="inlineStr">
        <is>
          <t>Email + address: yes</t>
        </is>
      </c>
      <c r="Q4" s="75" t="inlineStr">
        <is>
          <t>Not contacted</t>
        </is>
      </c>
      <c r="R4" s="73" t="n"/>
      <c r="S4" s="76" t="n"/>
    </row>
    <row r="5" ht="35.05" customHeight="1" s="55">
      <c r="A5" s="73" t="inlineStr">
        <is>
          <t>A4</t>
        </is>
      </c>
      <c r="B5" s="73" t="n">
        <v>1</v>
      </c>
      <c r="C5" s="73" t="inlineStr">
        <is>
          <t>Infloww</t>
        </is>
      </c>
      <c r="D5" s="73" t="inlineStr">
        <is>
          <t>Agency software (OnlyFans CRM) moving into AI + fintech</t>
        </is>
      </c>
      <c r="E5" s="73" t="inlineStr">
        <is>
          <t>London - ET+5 until Oct 25</t>
        </is>
      </c>
      <c r="F5" s="73" t="inlineStr">
        <is>
          <t>Not published - UK Companies House lists the directors</t>
        </is>
      </c>
      <c r="G5" s="73" t="inlineStr">
        <is>
          <t>Director(s)</t>
        </is>
      </c>
      <c r="H5" s="74" t="inlineStr">
        <is>
          <t>Not published</t>
        </is>
      </c>
      <c r="I5" s="73" t="inlineStr">
        <is>
          <t>infloww.com contact; Companies House officer search; LinkedIn</t>
        </is>
      </c>
      <c r="J5" s="73" t="inlineStr">
        <is>
          <t>-</t>
        </is>
      </c>
      <c r="K5" s="73" t="inlineStr">
        <is>
          <t>Diversifying into AI tools and fintech - TTS is a finished fan-engagement + payments layer its agency customers can switch on.</t>
        </is>
      </c>
      <c r="L5" s="73" t="inlineStr">
        <is>
          <t>You're building into AI and fintech. Here's a finished engagement-and-payments layer your agencies could turn on next month.</t>
        </is>
      </c>
      <c r="M5" s="73" t="inlineStr">
        <is>
          <t>Cash acquisition of the engine + optional revenue share</t>
        </is>
      </c>
      <c r="N5" s="73" t="inlineStr">
        <is>
          <t>UK PECR B2B</t>
        </is>
      </c>
      <c r="O5" s="73" t="inlineStr">
        <is>
          <t>Company profile (London private limited, founded 2019, ~45 staff); WebCatalog (AI + fintech diversification)</t>
        </is>
      </c>
      <c r="P5" s="73" t="inlineStr">
        <is>
          <t>Company facts: yes. Decision-maker: look up</t>
        </is>
      </c>
      <c r="Q5" s="75" t="inlineStr">
        <is>
          <t>Not contacted</t>
        </is>
      </c>
      <c r="R5" s="73" t="n"/>
      <c r="S5" s="76" t="n"/>
    </row>
    <row r="6" ht="35.05" customHeight="1" s="55">
      <c r="A6" s="73" t="inlineStr">
        <is>
          <t>A5</t>
        </is>
      </c>
      <c r="B6" s="73" t="n">
        <v>1</v>
      </c>
      <c r="C6" s="73" t="inlineStr">
        <is>
          <t>Supercreator (supercreator.app)</t>
        </is>
      </c>
      <c r="D6" s="73" t="inlineStr">
        <is>
          <t>Agency software + global agency directory</t>
        </is>
      </c>
      <c r="E6" s="73" t="inlineStr">
        <is>
          <t>Tel Aviv - ET+7</t>
        </is>
      </c>
      <c r="F6" s="73" t="inlineStr">
        <is>
          <t>Co-founders Yuval and Amir (surnames not published in sources found)</t>
        </is>
      </c>
      <c r="G6" s="73" t="inlineStr">
        <is>
          <t>Co-founders</t>
        </is>
      </c>
      <c r="H6" s="74" t="inlineStr">
        <is>
          <t>Not published</t>
        </is>
      </c>
      <c r="I6" s="73" t="inlineStr">
        <is>
          <t>Telegram t.me/supercreator_app; X @Supercreatorapp; consultation Calendly on supercreator.app</t>
        </is>
      </c>
      <c r="J6" s="73" t="inlineStr">
        <is>
          <t>-</t>
        </is>
      </c>
      <c r="K6" s="73" t="inlineStr">
        <is>
          <t>Their directory is the global agency list - TTS becomes a perk they hand every listed agency, or a product they own outright.</t>
        </is>
      </c>
      <c r="L6" s="73" t="inlineStr">
        <is>
          <t>Your directory is where agencies live. This is a weekly traffic engine you could hand every one of them.</t>
        </is>
      </c>
      <c r="M6" s="73" t="inlineStr">
        <is>
          <t>Cash + rev share on agencies onboarded</t>
        </is>
      </c>
      <c r="N6" s="73" t="inlineStr">
        <is>
          <t>B2B with opt-out</t>
        </is>
      </c>
      <c r="O6" s="73" t="inlineStr">
        <is>
          <t>Startup registry profile (founded 2022, Tel Aviv); Sept 19 workbook (channels)</t>
        </is>
      </c>
      <c r="P6" s="73" t="inlineStr">
        <is>
          <t>Channels: yes. Full names: no</t>
        </is>
      </c>
      <c r="Q6" s="75" t="inlineStr">
        <is>
          <t>Not contacted</t>
        </is>
      </c>
      <c r="R6" s="73" t="n"/>
      <c r="S6" s="76" t="n"/>
    </row>
    <row r="7" ht="46.25" customHeight="1" s="55">
      <c r="A7" s="73" t="inlineStr">
        <is>
          <t>A6</t>
        </is>
      </c>
      <c r="B7" s="73" t="n">
        <v>1</v>
      </c>
      <c r="C7" s="73" t="inlineStr">
        <is>
          <t>RCI Hospitality Holdings (NASDAQ: RICK)</t>
        </is>
      </c>
      <c r="D7" s="73" t="inlineStr">
        <is>
          <t>Public club operator (60+ locations)</t>
        </is>
      </c>
      <c r="E7" s="73" t="inlineStr">
        <is>
          <t>Houston, TX - ET-1</t>
        </is>
      </c>
      <c r="F7" s="73" t="inlineStr">
        <is>
          <t>Eric Langan</t>
        </is>
      </c>
      <c r="G7" s="73" t="inlineStr">
        <is>
          <t>Chairman, President &amp; CEO</t>
        </is>
      </c>
      <c r="H7" s="73" t="inlineStr">
        <is>
          <t>Media &amp; investor contacts (published Nov 2025): Gary Fishman &amp; Michael Wichman, 212-883-0655, gfishman@pondel.com, mwichman@pondel.com</t>
        </is>
      </c>
      <c r="I7" s="73" t="inlineStr">
        <is>
          <t>X @RCIHHinc; LinkedIn (Langan)</t>
        </is>
      </c>
      <c r="J7" s="73" t="inlineStr">
        <is>
          <t>Rick's Cabaret New York, 50 W 33rd St, NYC (business venue)</t>
        </is>
      </c>
      <c r="K7" s="73" t="inlineStr">
        <is>
          <t>60+ venues whose customers want to be seen; the /clubs flow lets any venue run its own weekly fan vote from a phone - fan engagement that drives door traffic.</t>
        </is>
      </c>
      <c r="L7" s="73" t="inlineStr">
        <is>
          <t>Your venues already sell the experience of being seen. This lets every club run a weekly fan vote from a phone and send fans back through the door.</t>
        </is>
      </c>
      <c r="M7" s="73" t="inlineStr">
        <is>
          <t>Cash; or license + pilot across 5 venues</t>
        </is>
      </c>
      <c r="N7" s="73" t="inlineStr">
        <is>
          <t>US CAN-SPAM</t>
        </is>
      </c>
      <c r="O7" s="73" t="inlineStr">
        <is>
          <t>BusinessWire Nov 14 2025 (contacts; Langan title); RCI release Jan 2023 (60+ locations)</t>
        </is>
      </c>
      <c r="P7" s="73" t="inlineStr">
        <is>
          <t>IR contacts: yes</t>
        </is>
      </c>
      <c r="Q7" s="75" t="inlineStr">
        <is>
          <t>Not contacted</t>
        </is>
      </c>
      <c r="R7" s="73" t="n"/>
      <c r="S7" s="76" t="n"/>
    </row>
    <row r="8" ht="35.05" customHeight="1" s="55">
      <c r="A8" s="77" t="inlineStr">
        <is>
          <t>A7</t>
        </is>
      </c>
      <c r="B8" s="77" t="n">
        <v>2</v>
      </c>
      <c r="C8" s="77" t="inlineStr">
        <is>
          <t>The Clueless</t>
        </is>
      </c>
      <c r="D8" s="77" t="inlineStr">
        <is>
          <t>AI-model agency (creator of Aitana Lopez)</t>
        </is>
      </c>
      <c r="E8" s="77" t="inlineStr">
        <is>
          <t>Barcelona - ET+6</t>
        </is>
      </c>
      <c r="F8" s="77" t="inlineStr">
        <is>
          <t>Ruben Cruz</t>
        </is>
      </c>
      <c r="G8" s="77" t="inlineStr">
        <is>
          <t>Co-founder &amp; Creative Director</t>
        </is>
      </c>
      <c r="H8" s="74" t="inlineStr">
        <is>
          <t>Not published in sources checked</t>
        </is>
      </c>
      <c r="I8" s="77" t="inlineStr">
        <is>
          <t>theclueless.ai contact; LinkedIn</t>
        </is>
      </c>
      <c r="J8" s="77" t="inlineStr">
        <is>
          <t>-</t>
        </is>
      </c>
      <c r="K8" s="77" t="inlineStr">
        <is>
          <t>Runs AI talent that already earns on Fanvue - an AI Models division needs exactly their roster, and owning the stage beats renting it.</t>
        </is>
      </c>
      <c r="L8" s="77" t="inlineStr">
        <is>
          <t>Aitana showed AI talent can build a real audience. We built the weekly stage where fans vote for it.</t>
        </is>
      </c>
      <c r="M8" s="77" t="inlineStr">
        <is>
          <t>Cash or equity swap</t>
        </is>
      </c>
      <c r="N8" s="77" t="inlineStr">
        <is>
          <t>EU GDPR B2B legitimate interest</t>
        </is>
      </c>
      <c r="O8" s="77" t="inlineStr">
        <is>
          <t>Wikipedia/Aitana Lopez; Reason.Why (Cruz title); press on Fanvue presence</t>
        </is>
      </c>
      <c r="P8" s="77" t="inlineStr">
        <is>
          <t>Name/title: yes</t>
        </is>
      </c>
      <c r="Q8" s="78" t="inlineStr">
        <is>
          <t>Not contacted</t>
        </is>
      </c>
      <c r="R8" s="77" t="n"/>
      <c r="S8" s="79" t="n"/>
    </row>
    <row r="9" ht="35.05" customHeight="1" s="55">
      <c r="A9" s="77" t="inlineStr">
        <is>
          <t>A8</t>
        </is>
      </c>
      <c r="B9" s="77" t="n">
        <v>2</v>
      </c>
      <c r="C9" s="77" t="inlineStr">
        <is>
          <t>Fansly</t>
        </is>
      </c>
      <c r="D9" s="77" t="inlineStr">
        <is>
          <t>Fan platform (bootstrapped)</t>
        </is>
      </c>
      <c r="E9" s="77" t="inlineStr">
        <is>
          <t>Baltimore, MD (Select Media LLC) / Cyprus (CY Media LTD) - ET</t>
        </is>
      </c>
      <c r="F9" s="77" t="inlineStr">
        <is>
          <t>Michael Etelis</t>
        </is>
      </c>
      <c r="G9" s="77" t="inlineStr">
        <is>
          <t>Founder / owner</t>
        </is>
      </c>
      <c r="H9" s="74" t="inlineStr">
        <is>
          <t>Not published</t>
        </is>
      </c>
      <c r="I9" s="77" t="inlineStr">
        <is>
          <t>Maryland business registry (Select Media LLC address) for direct mail; LinkedIn; fansly.com business contact</t>
        </is>
      </c>
      <c r="J9" s="77" t="inlineStr">
        <is>
          <t>-</t>
        </is>
      </c>
      <c r="K9" s="77" t="inlineStr">
        <is>
          <t>Competes on creator features - a weekly spotlight that sends fans to creators' pages is a feature they can ship next week.</t>
        </is>
      </c>
      <c r="L9" s="77" t="inlineStr">
        <is>
          <t>Fansly grew by giving creators a better home. This gives them a weekly spotlight that sends fans straight to their page.</t>
        </is>
      </c>
      <c r="M9" s="77" t="inlineStr">
        <is>
          <t>Cash acquisition</t>
        </is>
      </c>
      <c r="N9" s="77" t="inlineStr">
        <is>
          <t>US CAN-SPAM</t>
        </is>
      </c>
      <c r="O9" s="77" t="inlineStr">
        <is>
          <t>Wikipedia/Fansly; MEL Magazine (ownership)</t>
        </is>
      </c>
      <c r="P9" s="77" t="inlineStr">
        <is>
          <t>Name: yes. Contact: not published</t>
        </is>
      </c>
      <c r="Q9" s="78" t="inlineStr">
        <is>
          <t>Not contacted</t>
        </is>
      </c>
      <c r="R9" s="77" t="n"/>
      <c r="S9" s="79" t="n"/>
    </row>
    <row r="10" ht="35.05" customHeight="1" s="55">
      <c r="A10" s="77" t="inlineStr">
        <is>
          <t>A9</t>
        </is>
      </c>
      <c r="B10" s="77" t="n">
        <v>2</v>
      </c>
      <c r="C10" s="77" t="inlineStr">
        <is>
          <t>ManyVids</t>
        </is>
      </c>
      <c r="D10" s="77" t="inlineStr">
        <is>
          <t>Creator platform</t>
        </is>
      </c>
      <c r="E10" s="77" t="inlineStr">
        <is>
          <t>Montreal - ET</t>
        </is>
      </c>
      <c r="F10" s="77" t="inlineStr">
        <is>
          <t>Bella French</t>
        </is>
      </c>
      <c r="G10" s="77" t="inlineStr">
        <is>
          <t>Co-founder (CEO title per Wikipedia infobox; verify current title)</t>
        </is>
      </c>
      <c r="H10" s="74" t="inlineStr">
        <is>
          <t>Not published</t>
        </is>
      </c>
      <c r="I10" s="77" t="inlineStr">
        <is>
          <t>LinkedIn; corporate phone if published on their site</t>
        </is>
      </c>
      <c r="J10" s="77" t="inlineStr">
        <is>
          <t>-</t>
        </is>
      </c>
      <c r="K10" s="77" t="inlineStr">
        <is>
          <t>Creator-first brand - a weekly fan-vote contest is an engagement feature that fits their residuals story.</t>
        </is>
      </c>
      <c r="L10" s="77" t="inlineStr">
        <is>
          <t>You built ManyVids around fair pay for creators. This adds a weekly fan vote that pays creators in attention.</t>
        </is>
      </c>
      <c r="M10" s="77" t="inlineStr">
        <is>
          <t>Cash acquisition</t>
        </is>
      </c>
      <c r="N10" s="77" t="inlineStr">
        <is>
          <t>Canada CASL - NO cold email. LinkedIn or phone only</t>
        </is>
      </c>
      <c r="O10" s="77" t="inlineStr">
        <is>
          <t>Wikipedia/ManyVids</t>
        </is>
      </c>
      <c r="P10" s="77" t="inlineStr">
        <is>
          <t>Name: yes</t>
        </is>
      </c>
      <c r="Q10" s="78" t="inlineStr">
        <is>
          <t>Not contacted</t>
        </is>
      </c>
      <c r="R10" s="77" t="n"/>
      <c r="S10" s="79" t="n"/>
    </row>
    <row r="11" ht="23.85" customHeight="1" s="55">
      <c r="A11" s="73" t="inlineStr">
        <is>
          <t>A10</t>
        </is>
      </c>
      <c r="B11" s="73" t="n">
        <v>1</v>
      </c>
      <c r="C11" s="73" t="inlineStr">
        <is>
          <t>Acquire.Fi</t>
        </is>
      </c>
      <c r="D11" s="73" t="inlineStr">
        <is>
          <t>Web3 M&amp;A marketplace (venue + buyer network)</t>
        </is>
      </c>
      <c r="E11" s="73" t="inlineStr">
        <is>
          <t>Remote / BVI</t>
        </is>
      </c>
      <c r="F11" s="73" t="inlineStr">
        <is>
          <t>Nassim Bouslama; Jan Strandberg</t>
        </is>
      </c>
      <c r="G11" s="73" t="inlineStr">
        <is>
          <t>Co-founder &amp; CEO; Co-founder &amp; CTO</t>
        </is>
      </c>
      <c r="H11" s="73" t="inlineStr">
        <is>
          <t>Seller form on acquire.fi</t>
        </is>
      </c>
      <c r="I11" s="73" t="inlineStr">
        <is>
          <t>X @Acquire_Fi; LinkedIn</t>
        </is>
      </c>
      <c r="J11" s="73" t="inlineStr">
        <is>
          <t>-</t>
        </is>
      </c>
      <c r="K11" s="73" t="inlineStr">
        <is>
          <t>Web3 buyers who want a working onchain product with apps, entity and distribution - not a whitepaper.</t>
        </is>
      </c>
      <c r="L11" s="73" t="inlineStr">
        <is>
          <t>-</t>
        </is>
      </c>
      <c r="M11" s="73" t="inlineStr">
        <is>
          <t>Listed ask: $95K structured / $65K all-cash</t>
        </is>
      </c>
      <c r="N11" s="73" t="inlineStr">
        <is>
          <t>-</t>
        </is>
      </c>
      <c r="O11" s="73" t="inlineStr">
        <is>
          <t>CoinDesk profile (founders); G2 (marketplace scope)</t>
        </is>
      </c>
      <c r="P11" s="73" t="inlineStr">
        <is>
          <t>Names: yes</t>
        </is>
      </c>
      <c r="Q11" s="75" t="inlineStr">
        <is>
          <t>Not contacted</t>
        </is>
      </c>
      <c r="R11" s="73" t="n"/>
      <c r="S11" s="76" t="n"/>
    </row>
    <row r="12" ht="23.85" customHeight="1" s="55">
      <c r="A12" s="77" t="inlineStr">
        <is>
          <t>A11</t>
        </is>
      </c>
      <c r="B12" s="77" t="n">
        <v>2</v>
      </c>
      <c r="C12" s="77" t="inlineStr">
        <is>
          <t>Louna's Models</t>
        </is>
      </c>
      <c r="D12" s="77" t="inlineStr">
        <is>
          <t>Agency - runs the Exclu Awards</t>
        </is>
      </c>
      <c r="E12" s="77" t="inlineStr">
        <is>
          <t>Los Angeles - ET-3</t>
        </is>
      </c>
      <c r="F12" s="77" t="inlineStr">
        <is>
          <t>Louna</t>
        </is>
      </c>
      <c r="G12" s="77" t="inlineStr">
        <is>
          <t>Founder</t>
        </is>
      </c>
      <c r="H12" s="74" t="inlineStr">
        <is>
          <t>Not published</t>
        </is>
      </c>
      <c r="I12" s="77" t="inlineStr">
        <is>
          <t>Instagram DM</t>
        </is>
      </c>
      <c r="J12" s="77" t="inlineStr">
        <is>
          <t>Exclu Awards LA</t>
        </is>
      </c>
      <c r="K12" s="77" t="inlineStr">
        <is>
          <t>Owns an awards event - a TTS-powered fan-vote award category turns into ownership of the vote itself.</t>
        </is>
      </c>
      <c r="L12" s="77" t="inlineStr">
        <is>
          <t>Exclu Awards is the closest thing to what we run every week - except our vote is onchain.</t>
        </is>
      </c>
      <c r="M12" s="77" t="inlineStr">
        <is>
          <t>Cash + partnership</t>
        </is>
      </c>
      <c r="N12" s="77" t="inlineStr">
        <is>
          <t>US CAN-SPAM</t>
        </is>
      </c>
      <c r="O12" s="77" t="inlineStr">
        <is>
          <t>Sept 19 workbook</t>
        </is>
      </c>
      <c r="P12" s="77" t="inlineStr">
        <is>
          <t>Name: yes</t>
        </is>
      </c>
      <c r="Q12" s="78" t="inlineStr">
        <is>
          <t>Not contacted</t>
        </is>
      </c>
      <c r="R12" s="77" t="n"/>
      <c r="S12" s="79" t="n"/>
    </row>
    <row r="13" ht="23.85" customHeight="1" s="55">
      <c r="A13" s="77" t="inlineStr">
        <is>
          <t>A12</t>
        </is>
      </c>
      <c r="B13" s="77" t="n">
        <v>2</v>
      </c>
      <c r="C13" s="77" t="inlineStr">
        <is>
          <t>Upbrand</t>
        </is>
      </c>
      <c r="D13" s="77" t="inlineStr">
        <is>
          <t>Agency (Australia)</t>
        </is>
      </c>
      <c r="E13" s="77" t="inlineStr">
        <is>
          <t>Australia - ET+14 (ET+15 after Oct 4)</t>
        </is>
      </c>
      <c r="F13" s="77" t="inlineStr">
        <is>
          <t>Tony Izzet</t>
        </is>
      </c>
      <c r="G13" s="77" t="inlineStr">
        <is>
          <t>Founder</t>
        </is>
      </c>
      <c r="H13" s="74" t="inlineStr">
        <is>
          <t>Not published</t>
        </is>
      </c>
      <c r="I13" s="77" t="inlineStr">
        <is>
          <t>Instagram @tonyizzet</t>
        </is>
      </c>
      <c r="J13" s="77" t="inlineStr">
        <is>
          <t>-</t>
        </is>
      </c>
      <c r="K13" s="77" t="inlineStr">
        <is>
          <t>Capacity-constrained ('all spots filled') - a self-running engine adds revenue without headcount.</t>
        </is>
      </c>
      <c r="L13" s="77" t="inlineStr">
        <is>
          <t>Your bio says every spot is filled. This adds revenue per creator without adding a single hire.</t>
        </is>
      </c>
      <c r="M13" s="77" t="inlineStr">
        <is>
          <t>Cash + earn-out</t>
        </is>
      </c>
      <c r="N13" s="77" t="inlineStr">
        <is>
          <t>Australia Spam Act</t>
        </is>
      </c>
      <c r="O13" s="77" t="inlineStr">
        <is>
          <t>Sept 19 workbook (Instagram)</t>
        </is>
      </c>
      <c r="P13" s="77" t="inlineStr">
        <is>
          <t>Name: yes</t>
        </is>
      </c>
      <c r="Q13" s="78" t="inlineStr">
        <is>
          <t>Not contacted</t>
        </is>
      </c>
      <c r="R13" s="77" t="n"/>
      <c r="S13" s="79" t="n"/>
    </row>
    <row r="14" ht="23.85" customHeight="1" s="55">
      <c r="A14" s="77" t="inlineStr">
        <is>
          <t>A13</t>
        </is>
      </c>
      <c r="B14" s="77" t="n">
        <v>2</v>
      </c>
      <c r="C14" s="77" t="inlineStr">
        <is>
          <t>SheX Agency</t>
        </is>
      </c>
      <c r="D14" s="77" t="inlineStr">
        <is>
          <t>Agency (DACH, multi-platform)</t>
        </is>
      </c>
      <c r="E14" s="77" t="inlineStr">
        <is>
          <t>Germany - ET+6</t>
        </is>
      </c>
      <c r="F14" s="77" t="inlineStr">
        <is>
          <t>Named in the Impressum (verify at she-x.de/impressum)</t>
        </is>
      </c>
      <c r="G14" s="77" t="inlineStr">
        <is>
          <t>Geschaeftsfuehrer</t>
        </is>
      </c>
      <c r="H14" s="74" t="inlineStr">
        <is>
          <t>Impressum email (legally required - Claude Code verifies before sending)</t>
        </is>
      </c>
      <c r="I14" s="77" t="inlineStr">
        <is>
          <t>Instagram @onlyfans_agentur</t>
        </is>
      </c>
      <c r="J14" s="77" t="inlineStr">
        <is>
          <t>-</t>
        </is>
      </c>
      <c r="K14" s="77" t="inlineStr">
        <is>
          <t>Runs creators across several platforms, so off-platform promotion is already their model.</t>
        </is>
      </c>
      <c r="L14" s="77" t="inlineStr">
        <is>
          <t>You already run creators across five platforms - this is the one that brings fans to all of them.</t>
        </is>
      </c>
      <c r="M14" s="77" t="inlineStr">
        <is>
          <t>Cash + earn-out</t>
        </is>
      </c>
      <c r="N14" s="77" t="inlineStr">
        <is>
          <t>EU GDPR B2B</t>
        </is>
      </c>
      <c r="O14" s="77" t="inlineStr">
        <is>
          <t>Sept 19 workbook (Trustpilot, Instagram)</t>
        </is>
      </c>
      <c r="P14" s="77" t="inlineStr">
        <is>
          <t>Route: yes</t>
        </is>
      </c>
      <c r="Q14" s="78" t="inlineStr">
        <is>
          <t>Not contacted</t>
        </is>
      </c>
      <c r="R14" s="77" t="n"/>
      <c r="S14" s="79" t="n"/>
    </row>
    <row r="16" ht="15" customHeight="1" s="55">
      <c r="A16" s="80" t="inlineStr">
        <is>
          <t>Tier 1 count</t>
        </is>
      </c>
      <c r="B16" s="81">
        <f>COUNTIF(B2:B14,1)</f>
        <v/>
      </c>
    </row>
    <row r="17" ht="15" customHeight="1" s="55">
      <c r="A17" s="80" t="inlineStr">
        <is>
          <t>Tier 2 count</t>
        </is>
      </c>
      <c r="B17" s="81">
        <f>COUNTIF(B2:B14,2)</f>
        <v/>
      </c>
    </row>
    <row r="18" ht="30" customHeight="1" s="55">
      <c r="A18" s="57" t="inlineStr">
        <is>
          <t>Structure note: list the full package at $95K structured (cash + earn-out) or $65K all-cash. The gap nudges buyers toward structure. Never lead with token price. Your private floor stays off every document.</t>
        </is>
      </c>
    </row>
  </sheetData>
  <autoFilter ref="A1:S14"/>
  <mergeCells count="1">
    <mergeCell ref="A18:L18"/>
  </mergeCells>
  <dataValidations count="1">
    <dataValidation sqref="Q2:Q14" showDropDown="0" showInputMessage="0" showErrorMessage="0" allowBlank="1" type="list" errorStyle="stop" operator="between">
      <formula1>"Not contacted,Contacted,Replied,Meeting booked,NDA signed,Offer received,Passed"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54" min="1" max="1"/>
    <col width="30" customWidth="1" style="54" min="2" max="2"/>
    <col width="12" customWidth="1" style="54" min="3" max="3"/>
    <col width="6" customWidth="1" style="54" min="4" max="4"/>
    <col width="9" customWidth="1" style="54" min="5" max="5"/>
    <col width="16" customWidth="1" style="54" min="6" max="6"/>
    <col width="60" customWidth="1" style="54" min="7" max="7"/>
    <col width="26" customWidth="1" style="54" min="8" max="8"/>
    <col width="13" customWidth="1" style="54" min="9" max="9"/>
  </cols>
  <sheetData>
    <row r="1" ht="23.85" customHeight="1" s="55">
      <c r="A1" s="64" t="inlineStr">
        <is>
          <t>Acquirer ID</t>
        </is>
      </c>
      <c r="B1" s="64" t="inlineStr">
        <is>
          <t>Company</t>
        </is>
      </c>
      <c r="C1" s="64" t="inlineStr">
        <is>
          <t>Date</t>
        </is>
      </c>
      <c r="D1" s="64" t="inlineStr">
        <is>
          <t>Day</t>
        </is>
      </c>
      <c r="E1" s="64" t="inlineStr">
        <is>
          <t>Time (ET)</t>
        </is>
      </c>
      <c r="F1" s="64" t="inlineStr">
        <is>
          <t>Channel</t>
        </is>
      </c>
      <c r="G1" s="64" t="inlineStr">
        <is>
          <t>Action</t>
        </is>
      </c>
      <c r="H1" s="64" t="inlineStr">
        <is>
          <t>Script (Scripts tab)</t>
        </is>
      </c>
      <c r="I1" s="64" t="inlineStr">
        <is>
          <t>Status</t>
        </is>
      </c>
    </row>
    <row r="2" ht="15" customHeight="1" s="55">
      <c r="A2" s="65" t="inlineStr">
        <is>
          <t>A13</t>
        </is>
      </c>
      <c r="B2" s="65" t="inlineStr">
        <is>
          <t>SheX Agency</t>
        </is>
      </c>
      <c r="C2" s="66" t="n">
        <v>46296</v>
      </c>
      <c r="D2" s="65">
        <f>TEXT(C2,"ddd")</f>
        <v/>
      </c>
      <c r="E2" s="65" t="inlineStr">
        <is>
          <t>03:05</t>
        </is>
      </c>
      <c r="F2" s="65" t="inlineStr">
        <is>
          <t>Email (auto)</t>
        </is>
      </c>
      <c r="G2" s="65" t="inlineStr">
        <is>
          <t>Email 1 to the verified Impressum address (9:05 Berlin)</t>
        </is>
      </c>
      <c r="H2" s="65" t="inlineStr">
        <is>
          <t>Email 1 - acquirer</t>
        </is>
      </c>
      <c r="I2" s="67" t="inlineStr">
        <is>
          <t>Not started</t>
        </is>
      </c>
    </row>
    <row r="3" ht="15" customHeight="1" s="55">
      <c r="A3" s="65" t="inlineStr">
        <is>
          <t>A3</t>
        </is>
      </c>
      <c r="B3" s="65" t="inlineStr">
        <is>
          <t>AROA Agency</t>
        </is>
      </c>
      <c r="C3" s="66" t="n">
        <v>46296</v>
      </c>
      <c r="D3" s="65">
        <f>TEXT(C3,"ddd")</f>
        <v/>
      </c>
      <c r="E3" s="65" t="inlineStr">
        <is>
          <t>09:05</t>
        </is>
      </c>
      <c r="F3" s="65" t="inlineStr">
        <is>
          <t>Email (auto)</t>
        </is>
      </c>
      <c r="G3" s="65" t="inlineStr">
        <is>
          <t>Email 1 to office@aroaagency.com</t>
        </is>
      </c>
      <c r="H3" s="65" t="inlineStr">
        <is>
          <t>Email 1 - acquirer</t>
        </is>
      </c>
      <c r="I3" s="67" t="inlineStr">
        <is>
          <t>Not started</t>
        </is>
      </c>
    </row>
    <row r="4" ht="23.85" customHeight="1" s="55">
      <c r="A4" s="65" t="inlineStr">
        <is>
          <t>A6</t>
        </is>
      </c>
      <c r="B4" s="65" t="inlineStr">
        <is>
          <t>RCI Hospitality Holdings (NASDAQ: RICK)</t>
        </is>
      </c>
      <c r="C4" s="66" t="n">
        <v>46296</v>
      </c>
      <c r="D4" s="65">
        <f>TEXT(C4,"ddd")</f>
        <v/>
      </c>
      <c r="E4" s="65" t="inlineStr">
        <is>
          <t>09:05</t>
        </is>
      </c>
      <c r="F4" s="65" t="inlineStr">
        <is>
          <t>Email (auto)</t>
        </is>
      </c>
      <c r="G4" s="65" t="inlineStr">
        <is>
          <t>Email 1 to gfishman@pondel.com + mwichman@pondel.com</t>
        </is>
      </c>
      <c r="H4" s="65" t="inlineStr">
        <is>
          <t>Email 1 - acquirer</t>
        </is>
      </c>
      <c r="I4" s="67" t="inlineStr">
        <is>
          <t>Not started</t>
        </is>
      </c>
    </row>
    <row r="5" ht="15" customHeight="1" s="55">
      <c r="A5" s="65" t="inlineStr">
        <is>
          <t>A10</t>
        </is>
      </c>
      <c r="B5" s="65" t="inlineStr">
        <is>
          <t>Acquire.Fi</t>
        </is>
      </c>
      <c r="C5" s="66" t="n">
        <v>46296</v>
      </c>
      <c r="D5" s="65">
        <f>TEXT(C5,"ddd")</f>
        <v/>
      </c>
      <c r="E5" s="65" t="inlineStr">
        <is>
          <t>09:30</t>
        </is>
      </c>
      <c r="F5" s="65" t="inlineStr">
        <is>
          <t>Listing form</t>
        </is>
      </c>
      <c r="G5" s="65" t="inlineStr">
        <is>
          <t>Submit the Acquire.Fi seller form</t>
        </is>
      </c>
      <c r="H5" s="65" t="n"/>
      <c r="I5" s="67" t="inlineStr">
        <is>
          <t>Not started</t>
        </is>
      </c>
    </row>
    <row r="6" ht="15" customHeight="1" s="55">
      <c r="A6" s="65" t="inlineStr">
        <is>
          <t>A1</t>
        </is>
      </c>
      <c r="B6" s="65" t="inlineStr">
        <is>
          <t>Fanvue</t>
        </is>
      </c>
      <c r="C6" s="66" t="n">
        <v>46296</v>
      </c>
      <c r="D6" s="65">
        <f>TEXT(C6,"ddd")</f>
        <v/>
      </c>
      <c r="E6" s="65" t="inlineStr">
        <is>
          <t>10:00</t>
        </is>
      </c>
      <c r="F6" s="65" t="inlineStr">
        <is>
          <t>Web form</t>
        </is>
      </c>
      <c r="G6" s="65" t="inlineStr">
        <is>
          <t>Email 1 + Fanvue hook via fanvue.com business contact</t>
        </is>
      </c>
      <c r="H6" s="65" t="inlineStr">
        <is>
          <t>Email 1 - acquirer</t>
        </is>
      </c>
      <c r="I6" s="67" t="inlineStr">
        <is>
          <t>Not started</t>
        </is>
      </c>
    </row>
    <row r="7" ht="15" customHeight="1" s="55">
      <c r="A7" s="65" t="inlineStr">
        <is>
          <t>A2</t>
        </is>
      </c>
      <c r="B7" s="65" t="inlineStr">
        <is>
          <t>Creators Inc</t>
        </is>
      </c>
      <c r="C7" s="66" t="n">
        <v>46296</v>
      </c>
      <c r="D7" s="65">
        <f>TEXT(C7,"ddd")</f>
        <v/>
      </c>
      <c r="E7" s="65" t="inlineStr">
        <is>
          <t>10:00</t>
        </is>
      </c>
      <c r="F7" s="65" t="inlineStr">
        <is>
          <t>Web form</t>
        </is>
      </c>
      <c r="G7" s="65" t="inlineStr">
        <is>
          <t>Email 1 via creatorsinc.com/contact</t>
        </is>
      </c>
      <c r="H7" s="65" t="inlineStr">
        <is>
          <t>Email 1 - acquirer</t>
        </is>
      </c>
      <c r="I7" s="67" t="inlineStr">
        <is>
          <t>Not started</t>
        </is>
      </c>
    </row>
    <row r="8" ht="15" customHeight="1" s="55">
      <c r="A8" s="65" t="inlineStr">
        <is>
          <t>A4</t>
        </is>
      </c>
      <c r="B8" s="65" t="inlineStr">
        <is>
          <t>Infloww</t>
        </is>
      </c>
      <c r="C8" s="66" t="n">
        <v>46296</v>
      </c>
      <c r="D8" s="65">
        <f>TEXT(C8,"ddd")</f>
        <v/>
      </c>
      <c r="E8" s="65" t="inlineStr">
        <is>
          <t>10:00</t>
        </is>
      </c>
      <c r="F8" s="65" t="inlineStr">
        <is>
          <t>Web form</t>
        </is>
      </c>
      <c r="G8" s="65" t="inlineStr">
        <is>
          <t>Email 1 via infloww.com contact</t>
        </is>
      </c>
      <c r="H8" s="65" t="inlineStr">
        <is>
          <t>Email 1 - acquirer</t>
        </is>
      </c>
      <c r="I8" s="67" t="inlineStr">
        <is>
          <t>Not started</t>
        </is>
      </c>
    </row>
    <row r="9" ht="15" customHeight="1" s="55">
      <c r="A9" s="65" t="inlineStr">
        <is>
          <t>A7</t>
        </is>
      </c>
      <c r="B9" s="65" t="inlineStr">
        <is>
          <t>The Clueless</t>
        </is>
      </c>
      <c r="C9" s="66" t="n">
        <v>46296</v>
      </c>
      <c r="D9" s="65">
        <f>TEXT(C9,"ddd")</f>
        <v/>
      </c>
      <c r="E9" s="65" t="inlineStr">
        <is>
          <t>10:00</t>
        </is>
      </c>
      <c r="F9" s="65" t="inlineStr">
        <is>
          <t>Web form</t>
        </is>
      </c>
      <c r="G9" s="65" t="inlineStr">
        <is>
          <t>Email 1 via theclueless.ai</t>
        </is>
      </c>
      <c r="H9" s="65" t="inlineStr">
        <is>
          <t>Email 1 - acquirer</t>
        </is>
      </c>
      <c r="I9" s="67" t="inlineStr">
        <is>
          <t>Not started</t>
        </is>
      </c>
    </row>
    <row r="10" ht="15" customHeight="1" s="55">
      <c r="A10" s="65" t="inlineStr">
        <is>
          <t>A1</t>
        </is>
      </c>
      <c r="B10" s="65" t="inlineStr">
        <is>
          <t>Fanvue</t>
        </is>
      </c>
      <c r="C10" s="66" t="n">
        <v>46296</v>
      </c>
      <c r="D10" s="65">
        <f>TEXT(C10,"ddd")</f>
        <v/>
      </c>
      <c r="E10" s="65" t="inlineStr">
        <is>
          <t>10:30</t>
        </is>
      </c>
      <c r="F10" s="65" t="inlineStr">
        <is>
          <t>LinkedIn</t>
        </is>
      </c>
      <c r="G10" s="65" t="inlineStr">
        <is>
          <t>Connect note to Monange, Fitzgerald, Morris</t>
        </is>
      </c>
      <c r="H10" s="65" t="inlineStr">
        <is>
          <t>LinkedIn connection note</t>
        </is>
      </c>
      <c r="I10" s="67" t="inlineStr">
        <is>
          <t>Not started</t>
        </is>
      </c>
    </row>
    <row r="11" ht="15" customHeight="1" s="55">
      <c r="A11" s="65" t="inlineStr">
        <is>
          <t>A2</t>
        </is>
      </c>
      <c r="B11" s="65" t="inlineStr">
        <is>
          <t>Creators Inc</t>
        </is>
      </c>
      <c r="C11" s="66" t="n">
        <v>46296</v>
      </c>
      <c r="D11" s="65">
        <f>TEXT(C11,"ddd")</f>
        <v/>
      </c>
      <c r="E11" s="65" t="inlineStr">
        <is>
          <t>10:30</t>
        </is>
      </c>
      <c r="F11" s="65" t="inlineStr">
        <is>
          <t>LinkedIn</t>
        </is>
      </c>
      <c r="G11" s="65" t="inlineStr">
        <is>
          <t>Connect note to Andy Bachman</t>
        </is>
      </c>
      <c r="H11" s="65" t="inlineStr">
        <is>
          <t>LinkedIn connection note</t>
        </is>
      </c>
      <c r="I11" s="67" t="inlineStr">
        <is>
          <t>Not started</t>
        </is>
      </c>
    </row>
    <row r="12" ht="15" customHeight="1" s="55">
      <c r="A12" s="65" t="inlineStr">
        <is>
          <t>A4</t>
        </is>
      </c>
      <c r="B12" s="65" t="inlineStr">
        <is>
          <t>Infloww</t>
        </is>
      </c>
      <c r="C12" s="66" t="n">
        <v>46296</v>
      </c>
      <c r="D12" s="65">
        <f>TEXT(C12,"ddd")</f>
        <v/>
      </c>
      <c r="E12" s="65" t="inlineStr">
        <is>
          <t>10:30</t>
        </is>
      </c>
      <c r="F12" s="65" t="inlineStr">
        <is>
          <t>LinkedIn</t>
        </is>
      </c>
      <c r="G12" s="65" t="inlineStr">
        <is>
          <t>Connect note to directors found on Companies House</t>
        </is>
      </c>
      <c r="H12" s="65" t="inlineStr">
        <is>
          <t>LinkedIn connection note</t>
        </is>
      </c>
      <c r="I12" s="67" t="inlineStr">
        <is>
          <t>Not started</t>
        </is>
      </c>
    </row>
    <row r="13" ht="23.85" customHeight="1" s="55">
      <c r="A13" s="65" t="inlineStr">
        <is>
          <t>A6</t>
        </is>
      </c>
      <c r="B13" s="65" t="inlineStr">
        <is>
          <t>RCI Hospitality Holdings (NASDAQ: RICK)</t>
        </is>
      </c>
      <c r="C13" s="66" t="n">
        <v>46296</v>
      </c>
      <c r="D13" s="65">
        <f>TEXT(C13,"ddd")</f>
        <v/>
      </c>
      <c r="E13" s="65" t="inlineStr">
        <is>
          <t>10:30</t>
        </is>
      </c>
      <c r="F13" s="65" t="inlineStr">
        <is>
          <t>LinkedIn</t>
        </is>
      </c>
      <c r="G13" s="65" t="inlineStr">
        <is>
          <t>Connect note to Eric Langan</t>
        </is>
      </c>
      <c r="H13" s="65" t="inlineStr">
        <is>
          <t>LinkedIn connection note</t>
        </is>
      </c>
      <c r="I13" s="67" t="inlineStr">
        <is>
          <t>Not started</t>
        </is>
      </c>
    </row>
    <row r="14" ht="15" customHeight="1" s="55">
      <c r="A14" s="65" t="inlineStr">
        <is>
          <t>A7</t>
        </is>
      </c>
      <c r="B14" s="65" t="inlineStr">
        <is>
          <t>The Clueless</t>
        </is>
      </c>
      <c r="C14" s="66" t="n">
        <v>46296</v>
      </c>
      <c r="D14" s="65">
        <f>TEXT(C14,"ddd")</f>
        <v/>
      </c>
      <c r="E14" s="65" t="inlineStr">
        <is>
          <t>10:30</t>
        </is>
      </c>
      <c r="F14" s="65" t="inlineStr">
        <is>
          <t>LinkedIn</t>
        </is>
      </c>
      <c r="G14" s="65" t="inlineStr">
        <is>
          <t>Connect note to Ruben Cruz</t>
        </is>
      </c>
      <c r="H14" s="65" t="inlineStr">
        <is>
          <t>LinkedIn connection note</t>
        </is>
      </c>
      <c r="I14" s="67" t="inlineStr">
        <is>
          <t>Not started</t>
        </is>
      </c>
    </row>
    <row r="15" ht="15" customHeight="1" s="55">
      <c r="A15" s="65" t="inlineStr">
        <is>
          <t>A8</t>
        </is>
      </c>
      <c r="B15" s="65" t="inlineStr">
        <is>
          <t>Fansly</t>
        </is>
      </c>
      <c r="C15" s="66" t="n">
        <v>46296</v>
      </c>
      <c r="D15" s="65">
        <f>TEXT(C15,"ddd")</f>
        <v/>
      </c>
      <c r="E15" s="65" t="inlineStr">
        <is>
          <t>10:30</t>
        </is>
      </c>
      <c r="F15" s="65" t="inlineStr">
        <is>
          <t>LinkedIn</t>
        </is>
      </c>
      <c r="G15" s="65" t="inlineStr">
        <is>
          <t>Connect note to Michael Etelis</t>
        </is>
      </c>
      <c r="H15" s="65" t="inlineStr">
        <is>
          <t>LinkedIn connection note</t>
        </is>
      </c>
      <c r="I15" s="67" t="inlineStr">
        <is>
          <t>Not started</t>
        </is>
      </c>
    </row>
    <row r="16" ht="15" customHeight="1" s="55">
      <c r="A16" s="65" t="inlineStr">
        <is>
          <t>A9</t>
        </is>
      </c>
      <c r="B16" s="65" t="inlineStr">
        <is>
          <t>ManyVids</t>
        </is>
      </c>
      <c r="C16" s="66" t="n">
        <v>46296</v>
      </c>
      <c r="D16" s="65">
        <f>TEXT(C16,"ddd")</f>
        <v/>
      </c>
      <c r="E16" s="65" t="inlineStr">
        <is>
          <t>10:30</t>
        </is>
      </c>
      <c r="F16" s="65" t="inlineStr">
        <is>
          <t>LinkedIn</t>
        </is>
      </c>
      <c r="G16" s="65" t="inlineStr">
        <is>
          <t>Connect note to Bella French (no cold email - CASL)</t>
        </is>
      </c>
      <c r="H16" s="65" t="inlineStr">
        <is>
          <t>LinkedIn connection note</t>
        </is>
      </c>
      <c r="I16" s="67" t="inlineStr">
        <is>
          <t>Not started</t>
        </is>
      </c>
    </row>
    <row r="17" ht="15" customHeight="1" s="55">
      <c r="A17" s="65" t="inlineStr">
        <is>
          <t>A10</t>
        </is>
      </c>
      <c r="B17" s="65" t="inlineStr">
        <is>
          <t>Acquire.Fi</t>
        </is>
      </c>
      <c r="C17" s="66" t="n">
        <v>46296</v>
      </c>
      <c r="D17" s="65">
        <f>TEXT(C17,"ddd")</f>
        <v/>
      </c>
      <c r="E17" s="65" t="inlineStr">
        <is>
          <t>12:30</t>
        </is>
      </c>
      <c r="F17" s="65" t="inlineStr">
        <is>
          <t>X</t>
        </is>
      </c>
      <c r="G17" s="65" t="inlineStr">
        <is>
          <t>DM @Acquire_Fi with the one-pager link</t>
        </is>
      </c>
      <c r="H17" s="65" t="inlineStr">
        <is>
          <t>DM</t>
        </is>
      </c>
      <c r="I17" s="67" t="inlineStr">
        <is>
          <t>Not started</t>
        </is>
      </c>
    </row>
    <row r="18" ht="15" customHeight="1" s="55">
      <c r="A18" s="65" t="inlineStr">
        <is>
          <t>A11</t>
        </is>
      </c>
      <c r="B18" s="65" t="inlineStr">
        <is>
          <t>Louna's Models</t>
        </is>
      </c>
      <c r="C18" s="66" t="n">
        <v>46296</v>
      </c>
      <c r="D18" s="65">
        <f>TEXT(C18,"ddd")</f>
        <v/>
      </c>
      <c r="E18" s="65" t="inlineStr">
        <is>
          <t>12:30</t>
        </is>
      </c>
      <c r="F18" s="65" t="inlineStr">
        <is>
          <t>Instagram</t>
        </is>
      </c>
      <c r="G18" s="65" t="inlineStr">
        <is>
          <t>DM Louna - award-category + ownership angle</t>
        </is>
      </c>
      <c r="H18" s="65" t="inlineStr">
        <is>
          <t>DM</t>
        </is>
      </c>
      <c r="I18" s="67" t="inlineStr">
        <is>
          <t>Not started</t>
        </is>
      </c>
    </row>
    <row r="19" ht="15" customHeight="1" s="55">
      <c r="A19" s="65" t="inlineStr">
        <is>
          <t>A12</t>
        </is>
      </c>
      <c r="B19" s="65" t="inlineStr">
        <is>
          <t>Upbrand</t>
        </is>
      </c>
      <c r="C19" s="66" t="n">
        <v>46296</v>
      </c>
      <c r="D19" s="65">
        <f>TEXT(C19,"ddd")</f>
        <v/>
      </c>
      <c r="E19" s="65" t="inlineStr">
        <is>
          <t>12:30</t>
        </is>
      </c>
      <c r="F19" s="65" t="inlineStr">
        <is>
          <t>Instagram</t>
        </is>
      </c>
      <c r="G19" s="65" t="inlineStr">
        <is>
          <t>DM @tonyizzet</t>
        </is>
      </c>
      <c r="H19" s="65" t="inlineStr">
        <is>
          <t>DM</t>
        </is>
      </c>
      <c r="I19" s="67" t="inlineStr">
        <is>
          <t>Not started</t>
        </is>
      </c>
    </row>
    <row r="20" ht="15" customHeight="1" s="55">
      <c r="A20" s="65" t="inlineStr">
        <is>
          <t>A2</t>
        </is>
      </c>
      <c r="B20" s="65" t="inlineStr">
        <is>
          <t>Creators Inc</t>
        </is>
      </c>
      <c r="C20" s="66" t="n">
        <v>46296</v>
      </c>
      <c r="D20" s="65">
        <f>TEXT(C20,"ddd")</f>
        <v/>
      </c>
      <c r="E20" s="65" t="inlineStr">
        <is>
          <t>12:30</t>
        </is>
      </c>
      <c r="F20" s="65" t="inlineStr">
        <is>
          <t>Instagram</t>
        </is>
      </c>
      <c r="G20" s="65" t="inlineStr">
        <is>
          <t>DM @creatorsinc + Bachman (podcast-guest + acquisition angle)</t>
        </is>
      </c>
      <c r="H20" s="65" t="inlineStr">
        <is>
          <t>DM</t>
        </is>
      </c>
      <c r="I20" s="67" t="inlineStr">
        <is>
          <t>Not started</t>
        </is>
      </c>
    </row>
    <row r="21" ht="15" customHeight="1" s="55">
      <c r="A21" s="65" t="inlineStr">
        <is>
          <t>A5</t>
        </is>
      </c>
      <c r="B21" s="65" t="inlineStr">
        <is>
          <t>Supercreator (supercreator.app)</t>
        </is>
      </c>
      <c r="C21" s="66" t="n">
        <v>46296</v>
      </c>
      <c r="D21" s="65">
        <f>TEXT(C21,"ddd")</f>
        <v/>
      </c>
      <c r="E21" s="65" t="inlineStr">
        <is>
          <t>12:30</t>
        </is>
      </c>
      <c r="F21" s="65" t="inlineStr">
        <is>
          <t>Telegram</t>
        </is>
      </c>
      <c r="G21" s="65" t="inlineStr">
        <is>
          <t>DM t.me/supercreator_app + book the consultation Calendly</t>
        </is>
      </c>
      <c r="H21" s="65" t="inlineStr">
        <is>
          <t>DM</t>
        </is>
      </c>
      <c r="I21" s="67" t="inlineStr">
        <is>
          <t>Not started</t>
        </is>
      </c>
    </row>
    <row r="22" ht="15" customHeight="1" s="55">
      <c r="A22" s="65" t="inlineStr">
        <is>
          <t>A8</t>
        </is>
      </c>
      <c r="B22" s="65" t="inlineStr">
        <is>
          <t>Fansly</t>
        </is>
      </c>
      <c r="C22" s="66" t="n">
        <v>46297</v>
      </c>
      <c r="D22" s="65">
        <f>TEXT(C22,"ddd")</f>
        <v/>
      </c>
      <c r="E22" s="65" t="inlineStr">
        <is>
          <t>10:00</t>
        </is>
      </c>
      <c r="F22" s="65" t="inlineStr">
        <is>
          <t>Web form</t>
        </is>
      </c>
      <c r="G22" s="65" t="inlineStr">
        <is>
          <t>Email 1 via fansly.com business contact</t>
        </is>
      </c>
      <c r="H22" s="65" t="inlineStr">
        <is>
          <t>Email 1 - acquirer</t>
        </is>
      </c>
      <c r="I22" s="67" t="inlineStr">
        <is>
          <t>Not started</t>
        </is>
      </c>
    </row>
    <row r="23" ht="15" customHeight="1" s="55">
      <c r="A23" s="65" t="inlineStr">
        <is>
          <t>A3</t>
        </is>
      </c>
      <c r="B23" s="65" t="inlineStr">
        <is>
          <t>AROA Agency</t>
        </is>
      </c>
      <c r="C23" s="66" t="n">
        <v>46297</v>
      </c>
      <c r="D23" s="65">
        <f>TEXT(C23,"ddd")</f>
        <v/>
      </c>
      <c r="E23" s="65" t="inlineStr">
        <is>
          <t>12:30</t>
        </is>
      </c>
      <c r="F23" s="65" t="inlineStr">
        <is>
          <t>Telegram</t>
        </is>
      </c>
      <c r="G23" s="65" t="inlineStr">
        <is>
          <t>Nudge on t.me/aroaagency1 + Loom</t>
        </is>
      </c>
      <c r="H23" s="65" t="n"/>
      <c r="I23" s="67" t="inlineStr">
        <is>
          <t>Not started</t>
        </is>
      </c>
    </row>
    <row r="24" ht="15" customHeight="1" s="55">
      <c r="A24" s="65" t="inlineStr">
        <is>
          <t>A13</t>
        </is>
      </c>
      <c r="B24" s="65" t="inlineStr">
        <is>
          <t>SheX Agency</t>
        </is>
      </c>
      <c r="C24" s="66" t="n">
        <v>46301</v>
      </c>
      <c r="D24" s="65">
        <f>TEXT(C24,"ddd")</f>
        <v/>
      </c>
      <c r="E24" s="65" t="inlineStr">
        <is>
          <t>03:05</t>
        </is>
      </c>
      <c r="F24" s="65" t="inlineStr">
        <is>
          <t>Email (auto)</t>
        </is>
      </c>
      <c r="G24" s="65" t="inlineStr">
        <is>
          <t>Email 2</t>
        </is>
      </c>
      <c r="H24" s="65" t="inlineStr">
        <is>
          <t>Email 2 - proof</t>
        </is>
      </c>
      <c r="I24" s="67" t="inlineStr">
        <is>
          <t>Not started</t>
        </is>
      </c>
    </row>
    <row r="25" ht="15" customHeight="1" s="55">
      <c r="A25" s="65" t="inlineStr">
        <is>
          <t>A3</t>
        </is>
      </c>
      <c r="B25" s="65" t="inlineStr">
        <is>
          <t>AROA Agency</t>
        </is>
      </c>
      <c r="C25" s="66" t="n">
        <v>46301</v>
      </c>
      <c r="D25" s="65">
        <f>TEXT(C25,"ddd")</f>
        <v/>
      </c>
      <c r="E25" s="65" t="inlineStr">
        <is>
          <t>09:05</t>
        </is>
      </c>
      <c r="F25" s="65" t="inlineStr">
        <is>
          <t>Email (auto)</t>
        </is>
      </c>
      <c r="G25" s="65" t="inlineStr">
        <is>
          <t>Email 2 (proof + data room)</t>
        </is>
      </c>
      <c r="H25" s="65" t="inlineStr">
        <is>
          <t>Email 2 - proof</t>
        </is>
      </c>
      <c r="I25" s="67" t="inlineStr">
        <is>
          <t>Not started</t>
        </is>
      </c>
    </row>
    <row r="26" ht="23.85" customHeight="1" s="55">
      <c r="A26" s="65" t="inlineStr">
        <is>
          <t>A6</t>
        </is>
      </c>
      <c r="B26" s="65" t="inlineStr">
        <is>
          <t>RCI Hospitality Holdings (NASDAQ: RICK)</t>
        </is>
      </c>
      <c r="C26" s="66" t="n">
        <v>46301</v>
      </c>
      <c r="D26" s="65">
        <f>TEXT(C26,"ddd")</f>
        <v/>
      </c>
      <c r="E26" s="65" t="inlineStr">
        <is>
          <t>09:05</t>
        </is>
      </c>
      <c r="F26" s="65" t="inlineStr">
        <is>
          <t>Email (auto)</t>
        </is>
      </c>
      <c r="G26" s="65" t="inlineStr">
        <is>
          <t>Email 2 (proof + data room)</t>
        </is>
      </c>
      <c r="H26" s="65" t="inlineStr">
        <is>
          <t>Email 2 - proof</t>
        </is>
      </c>
      <c r="I26" s="67" t="inlineStr">
        <is>
          <t>Not started</t>
        </is>
      </c>
    </row>
    <row r="27" ht="15" customHeight="1" s="55">
      <c r="A27" s="65" t="inlineStr">
        <is>
          <t>A1</t>
        </is>
      </c>
      <c r="B27" s="65" t="inlineStr">
        <is>
          <t>Fanvue</t>
        </is>
      </c>
      <c r="C27" s="66" t="n">
        <v>46301</v>
      </c>
      <c r="D27" s="65">
        <f>TEXT(C27,"ddd")</f>
        <v/>
      </c>
      <c r="E27" s="65" t="inlineStr">
        <is>
          <t>10:00</t>
        </is>
      </c>
      <c r="F27" s="65" t="inlineStr">
        <is>
          <t>LinkedIn</t>
        </is>
      </c>
      <c r="G27" s="65" t="inlineStr">
        <is>
          <t>Email 2 (proof + data room) to accepted connections</t>
        </is>
      </c>
      <c r="H27" s="65" t="inlineStr">
        <is>
          <t>Email 2 - proof</t>
        </is>
      </c>
      <c r="I27" s="67" t="inlineStr">
        <is>
          <t>Not started</t>
        </is>
      </c>
    </row>
    <row r="28" ht="15" customHeight="1" s="55">
      <c r="A28" s="65" t="inlineStr">
        <is>
          <t>A10</t>
        </is>
      </c>
      <c r="B28" s="65" t="inlineStr">
        <is>
          <t>Acquire.Fi</t>
        </is>
      </c>
      <c r="C28" s="66" t="n">
        <v>46301</v>
      </c>
      <c r="D28" s="65">
        <f>TEXT(C28,"ddd")</f>
        <v/>
      </c>
      <c r="E28" s="65" t="inlineStr">
        <is>
          <t>10:00</t>
        </is>
      </c>
      <c r="F28" s="65" t="inlineStr">
        <is>
          <t>Email / X</t>
        </is>
      </c>
      <c r="G28" s="65" t="inlineStr">
        <is>
          <t>Follow-up with Loom + audit status</t>
        </is>
      </c>
      <c r="H28" s="65" t="n"/>
      <c r="I28" s="67" t="inlineStr">
        <is>
          <t>Not started</t>
        </is>
      </c>
    </row>
    <row r="29" ht="15" customHeight="1" s="55">
      <c r="A29" s="65" t="inlineStr">
        <is>
          <t>A2</t>
        </is>
      </c>
      <c r="B29" s="65" t="inlineStr">
        <is>
          <t>Creators Inc</t>
        </is>
      </c>
      <c r="C29" s="66" t="n">
        <v>46301</v>
      </c>
      <c r="D29" s="65">
        <f>TEXT(C29,"ddd")</f>
        <v/>
      </c>
      <c r="E29" s="65" t="inlineStr">
        <is>
          <t>10:00</t>
        </is>
      </c>
      <c r="F29" s="65" t="inlineStr">
        <is>
          <t>IG / LinkedIn</t>
        </is>
      </c>
      <c r="G29" s="65" t="inlineStr">
        <is>
          <t>Email 2 (proof + data room)</t>
        </is>
      </c>
      <c r="H29" s="65" t="inlineStr">
        <is>
          <t>Email 2 - proof</t>
        </is>
      </c>
      <c r="I29" s="67" t="inlineStr">
        <is>
          <t>Not started</t>
        </is>
      </c>
    </row>
    <row r="30" ht="15" customHeight="1" s="55">
      <c r="A30" s="65" t="inlineStr">
        <is>
          <t>A4</t>
        </is>
      </c>
      <c r="B30" s="65" t="inlineStr">
        <is>
          <t>Infloww</t>
        </is>
      </c>
      <c r="C30" s="66" t="n">
        <v>46301</v>
      </c>
      <c r="D30" s="65">
        <f>TEXT(C30,"ddd")</f>
        <v/>
      </c>
      <c r="E30" s="65" t="inlineStr">
        <is>
          <t>10:00</t>
        </is>
      </c>
      <c r="F30" s="65" t="inlineStr">
        <is>
          <t>LinkedIn</t>
        </is>
      </c>
      <c r="G30" s="65" t="inlineStr">
        <is>
          <t>Email 2 (proof + data room)</t>
        </is>
      </c>
      <c r="H30" s="65" t="inlineStr">
        <is>
          <t>Email 2 - proof</t>
        </is>
      </c>
      <c r="I30" s="67" t="inlineStr">
        <is>
          <t>Not started</t>
        </is>
      </c>
    </row>
    <row r="31" ht="15" customHeight="1" s="55">
      <c r="A31" s="65" t="inlineStr">
        <is>
          <t>A5</t>
        </is>
      </c>
      <c r="B31" s="65" t="inlineStr">
        <is>
          <t>Supercreator (supercreator.app)</t>
        </is>
      </c>
      <c r="C31" s="66" t="n">
        <v>46301</v>
      </c>
      <c r="D31" s="65">
        <f>TEXT(C31,"ddd")</f>
        <v/>
      </c>
      <c r="E31" s="65" t="inlineStr">
        <is>
          <t>10:00</t>
        </is>
      </c>
      <c r="F31" s="65" t="inlineStr">
        <is>
          <t>Telegram</t>
        </is>
      </c>
      <c r="G31" s="65" t="inlineStr">
        <is>
          <t>Email 2 content (proof + data room)</t>
        </is>
      </c>
      <c r="H31" s="65" t="inlineStr">
        <is>
          <t>Email 2 - proof</t>
        </is>
      </c>
      <c r="I31" s="67" t="inlineStr">
        <is>
          <t>Not started</t>
        </is>
      </c>
    </row>
    <row r="32" ht="15" customHeight="1" s="55">
      <c r="A32" s="65" t="inlineStr">
        <is>
          <t>A7</t>
        </is>
      </c>
      <c r="B32" s="65" t="inlineStr">
        <is>
          <t>The Clueless</t>
        </is>
      </c>
      <c r="C32" s="66" t="n">
        <v>46301</v>
      </c>
      <c r="D32" s="65">
        <f>TEXT(C32,"ddd")</f>
        <v/>
      </c>
      <c r="E32" s="65" t="inlineStr">
        <is>
          <t>10:00</t>
        </is>
      </c>
      <c r="F32" s="65" t="inlineStr">
        <is>
          <t>LinkedIn</t>
        </is>
      </c>
      <c r="G32" s="65" t="inlineStr">
        <is>
          <t>Email 2 (proof + data room)</t>
        </is>
      </c>
      <c r="H32" s="65" t="inlineStr">
        <is>
          <t>Email 2 - proof</t>
        </is>
      </c>
      <c r="I32" s="67" t="inlineStr">
        <is>
          <t>Not started</t>
        </is>
      </c>
    </row>
    <row r="33" ht="15" customHeight="1" s="55">
      <c r="A33" s="65" t="inlineStr">
        <is>
          <t>A8</t>
        </is>
      </c>
      <c r="B33" s="65" t="inlineStr">
        <is>
          <t>Fansly</t>
        </is>
      </c>
      <c r="C33" s="66" t="n">
        <v>46301</v>
      </c>
      <c r="D33" s="65">
        <f>TEXT(C33,"ddd")</f>
        <v/>
      </c>
      <c r="E33" s="65" t="inlineStr">
        <is>
          <t>10:00</t>
        </is>
      </c>
      <c r="F33" s="65" t="inlineStr">
        <is>
          <t>LinkedIn</t>
        </is>
      </c>
      <c r="G33" s="65" t="inlineStr">
        <is>
          <t>Email 2 (proof + data room)</t>
        </is>
      </c>
      <c r="H33" s="65" t="inlineStr">
        <is>
          <t>Email 2 - proof</t>
        </is>
      </c>
      <c r="I33" s="67" t="inlineStr">
        <is>
          <t>Not started</t>
        </is>
      </c>
    </row>
    <row r="34" ht="15" customHeight="1" s="55">
      <c r="A34" s="65" t="inlineStr">
        <is>
          <t>A9</t>
        </is>
      </c>
      <c r="B34" s="65" t="inlineStr">
        <is>
          <t>ManyVids</t>
        </is>
      </c>
      <c r="C34" s="66" t="n">
        <v>46301</v>
      </c>
      <c r="D34" s="65">
        <f>TEXT(C34,"ddd")</f>
        <v/>
      </c>
      <c r="E34" s="65" t="inlineStr">
        <is>
          <t>10:00</t>
        </is>
      </c>
      <c r="F34" s="65" t="inlineStr">
        <is>
          <t>LinkedIn</t>
        </is>
      </c>
      <c r="G34" s="65" t="inlineStr">
        <is>
          <t>Email 2 content via message</t>
        </is>
      </c>
      <c r="H34" s="65" t="inlineStr">
        <is>
          <t>Email 2 - proof</t>
        </is>
      </c>
      <c r="I34" s="67" t="inlineStr">
        <is>
          <t>Not started</t>
        </is>
      </c>
    </row>
    <row r="35" ht="15" customHeight="1" s="55">
      <c r="A35" s="65" t="inlineStr">
        <is>
          <t>A11</t>
        </is>
      </c>
      <c r="B35" s="65" t="inlineStr">
        <is>
          <t>Louna's Models</t>
        </is>
      </c>
      <c r="C35" s="66" t="n">
        <v>46301</v>
      </c>
      <c r="D35" s="65">
        <f>TEXT(C35,"ddd")</f>
        <v/>
      </c>
      <c r="E35" s="65" t="inlineStr">
        <is>
          <t>12:30</t>
        </is>
      </c>
      <c r="F35" s="65" t="inlineStr">
        <is>
          <t>Instagram</t>
        </is>
      </c>
      <c r="G35" s="65" t="inlineStr">
        <is>
          <t>Proof DM with Loom</t>
        </is>
      </c>
      <c r="H35" s="65" t="inlineStr">
        <is>
          <t>DM</t>
        </is>
      </c>
      <c r="I35" s="67" t="inlineStr">
        <is>
          <t>Not started</t>
        </is>
      </c>
    </row>
    <row r="36" ht="15" customHeight="1" s="55">
      <c r="A36" s="65" t="inlineStr">
        <is>
          <t>A12</t>
        </is>
      </c>
      <c r="B36" s="65" t="inlineStr">
        <is>
          <t>Upbrand</t>
        </is>
      </c>
      <c r="C36" s="66" t="n">
        <v>46301</v>
      </c>
      <c r="D36" s="65">
        <f>TEXT(C36,"ddd")</f>
        <v/>
      </c>
      <c r="E36" s="65" t="inlineStr">
        <is>
          <t>12:30</t>
        </is>
      </c>
      <c r="F36" s="65" t="inlineStr">
        <is>
          <t>Instagram</t>
        </is>
      </c>
      <c r="G36" s="65" t="inlineStr">
        <is>
          <t>Proof DM with Loom</t>
        </is>
      </c>
      <c r="H36" s="65" t="inlineStr">
        <is>
          <t>DM</t>
        </is>
      </c>
      <c r="I36" s="67" t="inlineStr">
        <is>
          <t>Not started</t>
        </is>
      </c>
    </row>
    <row r="37" ht="23.85" customHeight="1" s="55">
      <c r="A37" s="65" t="inlineStr">
        <is>
          <t>A6</t>
        </is>
      </c>
      <c r="B37" s="65" t="inlineStr">
        <is>
          <t>RCI Hospitality Holdings (NASDAQ: RICK)</t>
        </is>
      </c>
      <c r="C37" s="66" t="n">
        <v>46302</v>
      </c>
      <c r="D37" s="65">
        <f>TEXT(C37,"ddd")</f>
        <v/>
      </c>
      <c r="E37" s="65" t="inlineStr">
        <is>
          <t>10:30</t>
        </is>
      </c>
      <c r="F37" s="65" t="inlineStr">
        <is>
          <t>Phone</t>
        </is>
      </c>
      <c r="G37" s="65" t="inlineStr">
        <is>
          <t>Call IR at 212-883-0655 - ask who evaluates digital deals</t>
        </is>
      </c>
      <c r="H37" s="65" t="inlineStr">
        <is>
          <t>Call opener</t>
        </is>
      </c>
      <c r="I37" s="67" t="inlineStr">
        <is>
          <t>Not started</t>
        </is>
      </c>
    </row>
    <row r="38" ht="23.85" customHeight="1" s="55">
      <c r="A38" s="65" t="inlineStr">
        <is>
          <t>A6</t>
        </is>
      </c>
      <c r="B38" s="65" t="inlineStr">
        <is>
          <t>RCI Hospitality Holdings (NASDAQ: RICK)</t>
        </is>
      </c>
      <c r="C38" s="66" t="n">
        <v>46303</v>
      </c>
      <c r="D38" s="65">
        <f>TEXT(C38,"ddd")</f>
        <v/>
      </c>
      <c r="E38" s="65" t="inlineStr">
        <is>
          <t>18:00</t>
        </is>
      </c>
      <c r="F38" s="65" t="inlineStr">
        <is>
          <t>Visit (optional)</t>
        </is>
      </c>
      <c r="G38" s="65" t="inlineStr">
        <is>
          <t>Rick's Cabaret New York - GM demo + corporate intro</t>
        </is>
      </c>
      <c r="H38" s="65" t="inlineStr">
        <is>
          <t>Club visit</t>
        </is>
      </c>
      <c r="I38" s="67" t="inlineStr">
        <is>
          <t>Not started</t>
        </is>
      </c>
    </row>
    <row r="39" ht="15" customHeight="1" s="55">
      <c r="A39" s="65" t="inlineStr">
        <is>
          <t>A13</t>
        </is>
      </c>
      <c r="B39" s="65" t="inlineStr">
        <is>
          <t>SheX Agency</t>
        </is>
      </c>
      <c r="C39" s="66" t="n">
        <v>46307</v>
      </c>
      <c r="D39" s="65">
        <f>TEXT(C39,"ddd")</f>
        <v/>
      </c>
      <c r="E39" s="65" t="inlineStr">
        <is>
          <t>03:05</t>
        </is>
      </c>
      <c r="F39" s="65" t="inlineStr">
        <is>
          <t>Email (auto)</t>
        </is>
      </c>
      <c r="G39" s="65" t="inlineStr">
        <is>
          <t>Email 3</t>
        </is>
      </c>
      <c r="H39" s="65" t="inlineStr">
        <is>
          <t>Email 3 - offer date</t>
        </is>
      </c>
      <c r="I39" s="67" t="inlineStr">
        <is>
          <t>Not started</t>
        </is>
      </c>
    </row>
    <row r="40" ht="15" customHeight="1" s="55">
      <c r="A40" s="65" t="inlineStr">
        <is>
          <t>A3</t>
        </is>
      </c>
      <c r="B40" s="65" t="inlineStr">
        <is>
          <t>AROA Agency</t>
        </is>
      </c>
      <c r="C40" s="66" t="n">
        <v>46307</v>
      </c>
      <c r="D40" s="65">
        <f>TEXT(C40,"ddd")</f>
        <v/>
      </c>
      <c r="E40" s="65" t="inlineStr">
        <is>
          <t>09:05</t>
        </is>
      </c>
      <c r="F40" s="65" t="inlineStr">
        <is>
          <t>Email (auto)</t>
        </is>
      </c>
      <c r="G40" s="65" t="inlineStr">
        <is>
          <t>Email 3 - offers reviewed Oct 16</t>
        </is>
      </c>
      <c r="H40" s="65" t="inlineStr">
        <is>
          <t>Email 3 - offer date</t>
        </is>
      </c>
      <c r="I40" s="67" t="inlineStr">
        <is>
          <t>Not started</t>
        </is>
      </c>
    </row>
    <row r="41" ht="23.85" customHeight="1" s="55">
      <c r="A41" s="65" t="inlineStr">
        <is>
          <t>A6</t>
        </is>
      </c>
      <c r="B41" s="65" t="inlineStr">
        <is>
          <t>RCI Hospitality Holdings (NASDAQ: RICK)</t>
        </is>
      </c>
      <c r="C41" s="66" t="n">
        <v>46307</v>
      </c>
      <c r="D41" s="65">
        <f>TEXT(C41,"ddd")</f>
        <v/>
      </c>
      <c r="E41" s="65" t="inlineStr">
        <is>
          <t>09:05</t>
        </is>
      </c>
      <c r="F41" s="65" t="inlineStr">
        <is>
          <t>Email (auto)</t>
        </is>
      </c>
      <c r="G41" s="65" t="inlineStr">
        <is>
          <t>Email 3 - offers reviewed Oct 16</t>
        </is>
      </c>
      <c r="H41" s="65" t="inlineStr">
        <is>
          <t>Email 3 - offer date</t>
        </is>
      </c>
      <c r="I41" s="67" t="inlineStr">
        <is>
          <t>Not started</t>
        </is>
      </c>
    </row>
    <row r="42" ht="15" customHeight="1" s="55">
      <c r="A42" s="65" t="inlineStr">
        <is>
          <t>A1</t>
        </is>
      </c>
      <c r="B42" s="65" t="inlineStr">
        <is>
          <t>Fanvue</t>
        </is>
      </c>
      <c r="C42" s="66" t="n">
        <v>46307</v>
      </c>
      <c r="D42" s="65">
        <f>TEXT(C42,"ddd")</f>
        <v/>
      </c>
      <c r="E42" s="65" t="inlineStr">
        <is>
          <t>10:00</t>
        </is>
      </c>
      <c r="F42" s="65" t="inlineStr">
        <is>
          <t>LinkedIn</t>
        </is>
      </c>
      <c r="G42" s="65" t="inlineStr">
        <is>
          <t>Email 3 - offers reviewed Oct 16</t>
        </is>
      </c>
      <c r="H42" s="65" t="inlineStr">
        <is>
          <t>Email 3 - offer date</t>
        </is>
      </c>
      <c r="I42" s="67" t="inlineStr">
        <is>
          <t>Not started</t>
        </is>
      </c>
    </row>
    <row r="43" ht="15" customHeight="1" s="55">
      <c r="A43" s="65" t="inlineStr">
        <is>
          <t>A2</t>
        </is>
      </c>
      <c r="B43" s="65" t="inlineStr">
        <is>
          <t>Creators Inc</t>
        </is>
      </c>
      <c r="C43" s="66" t="n">
        <v>46307</v>
      </c>
      <c r="D43" s="65">
        <f>TEXT(C43,"ddd")</f>
        <v/>
      </c>
      <c r="E43" s="65" t="inlineStr">
        <is>
          <t>10:00</t>
        </is>
      </c>
      <c r="F43" s="65" t="inlineStr">
        <is>
          <t>IG / LinkedIn</t>
        </is>
      </c>
      <c r="G43" s="65" t="inlineStr">
        <is>
          <t>Email 3 - offers reviewed Oct 16</t>
        </is>
      </c>
      <c r="H43" s="65" t="inlineStr">
        <is>
          <t>Email 3 - offer date</t>
        </is>
      </c>
      <c r="I43" s="67" t="inlineStr">
        <is>
          <t>Not started</t>
        </is>
      </c>
    </row>
    <row r="44" ht="15" customHeight="1" s="55">
      <c r="A44" s="65" t="inlineStr">
        <is>
          <t>A4</t>
        </is>
      </c>
      <c r="B44" s="65" t="inlineStr">
        <is>
          <t>Infloww</t>
        </is>
      </c>
      <c r="C44" s="66" t="n">
        <v>46307</v>
      </c>
      <c r="D44" s="65">
        <f>TEXT(C44,"ddd")</f>
        <v/>
      </c>
      <c r="E44" s="65" t="inlineStr">
        <is>
          <t>10:00</t>
        </is>
      </c>
      <c r="F44" s="65" t="inlineStr">
        <is>
          <t>LinkedIn</t>
        </is>
      </c>
      <c r="G44" s="65" t="inlineStr">
        <is>
          <t>Email 3 - offers reviewed Oct 16</t>
        </is>
      </c>
      <c r="H44" s="65" t="inlineStr">
        <is>
          <t>Email 3 - offer date</t>
        </is>
      </c>
      <c r="I44" s="67" t="inlineStr">
        <is>
          <t>Not started</t>
        </is>
      </c>
    </row>
    <row r="45" ht="15" customHeight="1" s="55">
      <c r="A45" s="65" t="inlineStr">
        <is>
          <t>A5</t>
        </is>
      </c>
      <c r="B45" s="65" t="inlineStr">
        <is>
          <t>Supercreator (supercreator.app)</t>
        </is>
      </c>
      <c r="C45" s="66" t="n">
        <v>46307</v>
      </c>
      <c r="D45" s="65">
        <f>TEXT(C45,"ddd")</f>
        <v/>
      </c>
      <c r="E45" s="65" t="inlineStr">
        <is>
          <t>10:00</t>
        </is>
      </c>
      <c r="F45" s="65" t="inlineStr">
        <is>
          <t>Telegram</t>
        </is>
      </c>
      <c r="G45" s="65" t="inlineStr">
        <is>
          <t>Email 3 - offers reviewed Oct 16</t>
        </is>
      </c>
      <c r="H45" s="65" t="inlineStr">
        <is>
          <t>Email 3 - offer date</t>
        </is>
      </c>
      <c r="I45" s="67" t="inlineStr">
        <is>
          <t>Not started</t>
        </is>
      </c>
    </row>
    <row r="46" ht="15" customHeight="1" s="55">
      <c r="A46" s="65" t="inlineStr">
        <is>
          <t>A7</t>
        </is>
      </c>
      <c r="B46" s="65" t="inlineStr">
        <is>
          <t>The Clueless</t>
        </is>
      </c>
      <c r="C46" s="66" t="n">
        <v>46307</v>
      </c>
      <c r="D46" s="65">
        <f>TEXT(C46,"ddd")</f>
        <v/>
      </c>
      <c r="E46" s="65" t="inlineStr">
        <is>
          <t>10:00</t>
        </is>
      </c>
      <c r="F46" s="65" t="inlineStr">
        <is>
          <t>LinkedIn</t>
        </is>
      </c>
      <c r="G46" s="65" t="inlineStr">
        <is>
          <t>Email 3 - offers reviewed Oct 16</t>
        </is>
      </c>
      <c r="H46" s="65" t="inlineStr">
        <is>
          <t>Email 3 - offer date</t>
        </is>
      </c>
      <c r="I46" s="67" t="inlineStr">
        <is>
          <t>Not started</t>
        </is>
      </c>
    </row>
    <row r="47" ht="15" customHeight="1" s="55">
      <c r="A47" s="65" t="inlineStr">
        <is>
          <t>A8</t>
        </is>
      </c>
      <c r="B47" s="65" t="inlineStr">
        <is>
          <t>Fansly</t>
        </is>
      </c>
      <c r="C47" s="66" t="n">
        <v>46307</v>
      </c>
      <c r="D47" s="65">
        <f>TEXT(C47,"ddd")</f>
        <v/>
      </c>
      <c r="E47" s="65" t="inlineStr">
        <is>
          <t>10:00</t>
        </is>
      </c>
      <c r="F47" s="65" t="inlineStr">
        <is>
          <t>LinkedIn</t>
        </is>
      </c>
      <c r="G47" s="65" t="inlineStr">
        <is>
          <t>Email 3 - offers reviewed Oct 16</t>
        </is>
      </c>
      <c r="H47" s="65" t="inlineStr">
        <is>
          <t>Email 3 - offer date</t>
        </is>
      </c>
      <c r="I47" s="67" t="inlineStr">
        <is>
          <t>Not started</t>
        </is>
      </c>
    </row>
    <row r="48" ht="15" customHeight="1" s="55">
      <c r="A48" s="65" t="inlineStr">
        <is>
          <t>A9</t>
        </is>
      </c>
      <c r="B48" s="65" t="inlineStr">
        <is>
          <t>ManyVids</t>
        </is>
      </c>
      <c r="C48" s="66" t="n">
        <v>46307</v>
      </c>
      <c r="D48" s="65">
        <f>TEXT(C48,"ddd")</f>
        <v/>
      </c>
      <c r="E48" s="65" t="inlineStr">
        <is>
          <t>10:00</t>
        </is>
      </c>
      <c r="F48" s="65" t="inlineStr">
        <is>
          <t>LinkedIn</t>
        </is>
      </c>
      <c r="G48" s="65" t="inlineStr">
        <is>
          <t>Offers reviewed Oct 16</t>
        </is>
      </c>
      <c r="H48" s="65" t="n"/>
      <c r="I48" s="67" t="inlineStr">
        <is>
          <t>Not started</t>
        </is>
      </c>
    </row>
    <row r="49" ht="15" customHeight="1" s="55">
      <c r="A49" s="65" t="inlineStr">
        <is>
          <t>A1</t>
        </is>
      </c>
      <c r="B49" s="65" t="inlineStr">
        <is>
          <t>Fanvue</t>
        </is>
      </c>
      <c r="C49" s="66" t="n">
        <v>46310</v>
      </c>
      <c r="D49" s="65">
        <f>TEXT(C49,"ddd")</f>
        <v/>
      </c>
      <c r="E49" s="65" t="inlineStr">
        <is>
          <t>17:00</t>
        </is>
      </c>
      <c r="F49" s="65" t="inlineStr">
        <is>
          <t>LinkedIn</t>
        </is>
      </c>
      <c r="G49" s="65" t="inlineStr">
        <is>
          <t>Last call (if engaged)</t>
        </is>
      </c>
      <c r="H49" s="65" t="inlineStr">
        <is>
          <t>Call opener</t>
        </is>
      </c>
      <c r="I49" s="67" t="inlineStr">
        <is>
          <t>Not started</t>
        </is>
      </c>
    </row>
  </sheetData>
  <autoFilter ref="A1:I49"/>
  <dataValidations count="1">
    <dataValidation sqref="I2:I49" showDropDown="0" showInputMessage="0" showErrorMessage="0" allowBlank="1" type="list" errorStyle="stop" operator="between">
      <formula1>"Not started,In progress,Done,Blocked,Skipped"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54" min="1" max="1"/>
    <col width="120" customWidth="1" style="54" min="2" max="2"/>
    <col width="72" customWidth="1" style="55" min="3" max="3"/>
  </cols>
  <sheetData>
    <row r="1" ht="15" customHeight="1" s="55">
      <c r="A1" s="64" t="inlineStr">
        <is>
          <t>Script</t>
        </is>
      </c>
      <c r="B1" s="64" t="inlineStr">
        <is>
          <t>Text (fill {{FirstName}}, {{Company}}, {{Hook}} from the Acquirers tab)</t>
        </is>
      </c>
      <c r="C1" s="82" t="inlineStr">
        <is>
          <t>Verified 2026-09-25 (Claude Code)</t>
        </is>
      </c>
    </row>
    <row r="2" ht="408.75" customHeight="1" s="55">
      <c r="A2" s="65" t="inlineStr">
        <is>
          <t>Email 1 - acquirer (Oct 1)</t>
        </is>
      </c>
      <c r="B2" s="65" t="inlineStr">
        <is>
          <t>Subject A: Acquisition: a working onchain fan-voting platform
Subject B: {{Company}} + a weekly fan-vote engine you could own
Hi {{FirstName}},
{{Hook}}
I'm Jim Goetz, founder of Temptation Token. We built a complete weekly fan-voting platform on Base: fans vote for creators, winners receive onchain trophies, and every creator's profile sends voters straight to her link hub.
Working today:
- Web app, Android app, Telegram bot
- Face ID sign-up with gas-free wallets; card purchases through Transak
- Weekly rounds that settle themselves onchain - every vote and winner publicly verifiable
- Club self-serve onboarding, referral engine, automated social posting
- An AI Models division, clearly labeled, ready for agency creators to join
- Contracts verified on Base: supply governed by a 2-of-2 multisig, no blacklist function, full audit history disclosed
- Delaware entity, domains, brand, and an SEO site that publishes automatically
My other companies need my full attention, so Temptation Token needs a full-time owner. We're reviewing offers on Friday, October 16. If owning it makes sense for {{Company}}, I'll open the data room under NDA - 20 minutes is enough to see it live: calendly.com/temptationtoken/phone-meeting
Jim Goetz
Founder, Temptation Token - Blockchain Entertainment LLC
jim@temptationtoken.io</t>
        </is>
      </c>
      <c r="C2" s="83" t="inlineStr">
        <is>
          <t>[HOLDS] Trophies, onchain settlement and the profile link-out all verified.</t>
        </is>
      </c>
    </row>
    <row r="3" ht="195" customHeight="1" s="55">
      <c r="A3" s="65" t="inlineStr">
        <is>
          <t>Email 2 - proof (Oct 6)</t>
        </is>
      </c>
      <c r="B3" s="65" t="inlineStr">
        <is>
          <t>Subject: 2-minute walkthrough + data room - Temptation Token
{{FirstName}} - here's the platform running live: [LOOM_URL]
New since last week: [SHIPPED_THIS_WEEK - e.g. card purchases live, deeper liquidity, audit underway, Round # settled]
The data room covers contracts, round history, metrics, architecture, monthly running cost, and the transfer runbook. Reply 'NDA' and I'll send it today. Offers are reviewed Friday, October 16.
Jim</t>
        </is>
      </c>
      <c r="C3" s="83" t="inlineStr">
        <is>
          <t>[FIX] "audit underway" is NOT true — the SolidProof contact is quote-only by decision. Replace that example. Also: the data room's monthly cost sheet needs real invoice figures and the transfer runbook is a draft — finish both before Oct 6 or drop them from the sentence.</t>
        </is>
      </c>
    </row>
    <row r="4" ht="120" customHeight="1" s="55">
      <c r="A4" s="65" t="inlineStr">
        <is>
          <t>Email 3 - offer date (Oct 12)</t>
        </is>
      </c>
      <c r="B4" s="65" t="inlineStr">
        <is>
          <t>Subject: Offers reviewed Friday - Temptation Token
{{FirstName}} - a quick note that we're reviewing offers this Friday, October 16 at 5 PM ET. Cash, cash plus earn-out, and partnership structures are all on the table. If a 20-minute look would help before then: calendly.com/temptationtoken/phone-meeting
Jim</t>
        </is>
      </c>
      <c r="C4" s="83" t="inlineStr">
        <is>
          <t>[HOLDS] No factual claims to check.</t>
        </is>
      </c>
    </row>
    <row r="5" ht="45" customHeight="1" s="55">
      <c r="A5" s="65" t="inlineStr">
        <is>
          <t>LinkedIn connection note (300 chars max)</t>
        </is>
      </c>
      <c r="B5" s="65" t="inlineStr">
        <is>
          <t>Jim Goetz, founder of Temptation Token - a working onchain fan-voting platform (web, Android, Telegram). We're reviewing acquisition offers Oct 16 and {{Company}} is a natural fit. Worth a 20-minute look?</t>
        </is>
      </c>
      <c r="C5" s="83" t="inlineStr">
        <is>
          <t>[NEEDS EDIT] "(web, Android, Telegram)" — no Android build is published. Say "web and Telegram, Android in progress."</t>
        </is>
      </c>
    </row>
    <row r="6" ht="60" customHeight="1" s="55">
      <c r="A6" s="65" t="inlineStr">
        <is>
          <t>DM - Instagram / X / Telegram</t>
        </is>
      </c>
      <c r="B6" s="65" t="inlineStr">
        <is>
          <t>{{FirstName}} - Jim Goetz, founder of Temptation Token. We built a weekly onchain fan vote: creators get a spotlight, fans vote, winners get trophies, and every profile sends fans to the creator's page. We're selling it to an owner with a roster - {{Company}} fits. Can I send the 2-minute walkthrough?</t>
        </is>
      </c>
      <c r="C6" s="83" t="inlineStr">
        <is>
          <t>[HOLDS] Mechanic described accurately.</t>
        </is>
      </c>
    </row>
    <row r="7" ht="60" customHeight="1" s="55">
      <c r="A7" s="65" t="inlineStr">
        <is>
          <t>Call opener - RCI investor relations (Oct 7)</t>
        </is>
      </c>
      <c r="B7" s="65" t="inlineStr">
        <is>
          <t>[STRUCK 2026-09-25 — see verification note] Hi Gary, Jim Goetz, founder of Temptation Token. I emailed you and Michael last week. We're selling a turnkey fan-engagement platform with a self-serve club program - any venue can run its own weekly fan vote from a phone. Who at RCI looks at digital partnerships or acquisitions? I'd like to get them a 20-minute demo before we review offers on the 16th.</t>
        </is>
      </c>
      <c r="C7" s="84" t="inlineStr">
        <is>
          <t>[STRUCK] "self-serve club program — any venue can run its own weekly fan vote from a phone" is FALSE. Club registration is admin-only (requireAdmin on every write in api/set-club-wallet.js); pending_clubs and club_partners both have 0 rows. USE INSTEAD: "a club partner program wired on-chain — a club code links to a wallet and its 10% share pays automatically on settlement; registration is approved by us."</t>
        </is>
      </c>
    </row>
    <row r="8" ht="45" customHeight="1" s="55">
      <c r="A8" s="65" t="inlineStr">
        <is>
          <t>Voicemail (20 seconds)</t>
        </is>
      </c>
      <c r="B8" s="65" t="inlineStr">
        <is>
          <t>Hi, it's Jim Goetz with Temptation Token - I sent a note about a weekly fan-vote platform we're selling to an owner with a roster or venues. The two-minute walkthrough is in your inbox; my email is jim@temptationtoken.io. We're reviewing offers October 16. Thanks.</t>
        </is>
      </c>
      <c r="C8" s="83" t="inlineStr">
        <is>
          <t>[HOLDS] No factual claims to check.</t>
        </is>
      </c>
    </row>
    <row r="9" ht="45" customHeight="1" s="55">
      <c r="A9" s="65" t="inlineStr">
        <is>
          <t>Club visit (60 seconds)</t>
        </is>
      </c>
      <c r="B9" s="65" t="inlineStr">
        <is>
          <t>[STRUCK 2026-09-25 — see verification note] Hi, I'm Jim Goetz with Temptation Token. We run a weekly fan vote for entertainers - your club can join from a phone in about two minutes, and it sends fans back through your door. Can I show you on my phone? [Scan the /clubs QR together.]</t>
        </is>
      </c>
      <c r="C9" s="84" t="inlineStr">
        <is>
          <t>[STRUCK] "join from a phone in about two minutes" is FALSE for the same reason. Also temptationtoken.io/clubs returns 404, so "[Scan the /clubs QR together]" points at a dead URL — build the page or drop the QR step.</t>
        </is>
      </c>
    </row>
    <row r="10"/>
    <row r="11" ht="45" customHeight="1" s="55">
      <c r="A11" s="80" t="inlineStr">
        <is>
          <t>Placeholders</t>
        </is>
      </c>
      <c r="B11" s="57" t="inlineStr">
        <is>
          <t>[LOOM_URL] = your demo link. [SHIPPED_THIS_WEEK] = Claude Code fills from live data. Claude Code verifies every line against chain and the live app before Oct 1 and strikes anything that doesn't hold. Never state a prize-pool dollar figure, token price, APR or return.</t>
        </is>
      </c>
      <c r="C11" s="83" t="inlineStr">
        <is>
          <t>[NOTE] Verification done 2026-09-25 — see ops/sale/claims_verification_2026-09-25.md.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54" min="1" max="1"/>
    <col width="90" customWidth="1" style="54" min="2" max="2"/>
    <col width="40" customWidth="1" style="54" min="3" max="3"/>
    <col width="72" customWidth="1" style="55" min="4" max="4"/>
  </cols>
  <sheetData>
    <row r="1" ht="15" customHeight="1" s="55">
      <c r="A1" s="64" t="inlineStr">
        <is>
          <t>What a buyer might ask about</t>
        </is>
      </c>
      <c r="B1" s="64" t="inlineStr">
        <is>
          <t>The strength (every line true under diligence)</t>
        </is>
      </c>
      <c r="C1" s="64" t="inlineStr">
        <is>
          <t>Proof to show</t>
        </is>
      </c>
      <c r="D1" s="82" t="inlineStr">
        <is>
          <t>Verified 2026-09-25 (Claude Code)</t>
        </is>
      </c>
    </row>
    <row r="2" ht="23.85" customHeight="1" s="55">
      <c r="A2" s="65" t="inlineStr">
        <is>
          <t>No revenue yet</t>
        </is>
      </c>
      <c r="B2" s="65" t="inlineStr">
        <is>
          <t>Clean slate: no legacy customers, refunds or churn. The buyer sets monetization from day one - sponsored rounds, featured slots, card on-ramp partner fees.</t>
        </is>
      </c>
      <c r="C2" s="65" t="inlineStr">
        <is>
          <t>Revenue-lever sheet</t>
        </is>
      </c>
      <c r="D2" s="83" t="inlineStr">
        <is>
          <t>[HOLDS] Framing, not a factual claim.</t>
        </is>
      </c>
    </row>
    <row r="3" ht="23.85" customHeight="1" s="55">
      <c r="A3" s="65" t="inlineStr">
        <is>
          <t>23 players, 3 votes to date</t>
        </is>
      </c>
      <c r="B3" s="65" t="inlineStr">
        <is>
          <t>The buyer is paying for a proven machine at below replacement cost and bringing the audience - so every future vote is theirs. The numbers are stated plainly, which makes every other claim credible.</t>
        </is>
      </c>
      <c r="C3" s="65" t="inlineStr">
        <is>
          <t>Replacement-cost sheet; round history</t>
        </is>
      </c>
      <c r="D3" s="83" t="inlineStr">
        <is>
          <t>[HOLDS (one phrase pending)] Numbers verified against production 2026-09-25. "Below replacement cost" depends on outputs/sale/data_room/replacement_cost.md — quote its figure rather than the adjective.</t>
        </is>
      </c>
    </row>
    <row r="4" ht="23.85" customHeight="1" s="55">
      <c r="A4" s="65" t="inlineStr">
        <is>
          <t>Chainlink automation stalled in the past</t>
        </is>
      </c>
      <c r="B4" s="65" t="inlineStr">
        <is>
          <t>Self-healing settlement, proven: Rounds 9-12 each settled unattended within 30 minutes of close - four in a row, verifiable onchain.</t>
        </is>
      </c>
      <c r="C4" s="65" t="inlineStr">
        <is>
          <t>Basescan settlement txs, Rounds 9-12</t>
        </is>
      </c>
      <c r="D4" s="83" t="inlineStr">
        <is>
          <t>[HOLDS — tighter than claimed] Verified: settlement ran 19.6, 22.4, 17.3 and 18.3 minutes after close for rounds 9-12. PROVE IT FROM CHAIN (round_history.csv), never from admin_audit_log — three of the four SETTLE rows are wrongly recorded no_state_change, which makes the autopilot look worse than it is.</t>
        </is>
      </c>
    </row>
    <row r="5" ht="23.85" customHeight="1" s="55">
      <c r="A5" s="65" t="inlineStr">
        <is>
          <t>Token contract can't be upgraded</t>
        </is>
      </c>
      <c r="B5" s="65" t="inlineStr">
        <is>
          <t>Immutable token: nobody - not us, not the buyer - can change its code. What diligence verifies is what runs forever, and any audit the buyer commissions stays valid permanently.</t>
        </is>
      </c>
      <c r="C5" s="65" t="inlineStr">
        <is>
          <t>Empty EIP-1967 slot; bytecode on Basescan</t>
        </is>
      </c>
      <c r="D5" s="83" t="inlineStr">
        <is>
          <t>[HOLDS] proxiableUUID() returns instead of reverting; EIP-1967 slot zero; 20,747B of code. Both token and V3d show "Contract Source Code Verified" on BaseScan.</t>
        </is>
      </c>
    </row>
    <row r="6" ht="35.05" customHeight="1" s="55">
      <c r="A6" s="65" t="inlineStr">
        <is>
          <t>Supply can be expanded</t>
        </is>
      </c>
      <c r="B6" s="65" t="inlineStr">
        <is>
          <t>Supply is governed by a 2-of-2 multisig: expansion needs both signatures, so the owner can fund future rewards without a token migration. A 48-hour timelock package is ready to install at close if the buyer wants one.</t>
        </is>
      </c>
      <c r="C6" s="65" t="inlineStr">
        <is>
          <t>Role map; timelock package (from Sep 28)</t>
        </is>
      </c>
      <c r="D6" s="83" t="inlineStr">
        <is>
          <t>[HOLDS] Executed on a mainnet fork: granted MINTER, minted 1B, supply 69B to 70B. Timelock package is built and fork-tested but NOT executed.</t>
        </is>
      </c>
    </row>
    <row r="7" ht="15" customHeight="1" s="55">
      <c r="A7" s="65" t="inlineStr">
        <is>
          <t>Blacklist concerns from scanners</t>
        </is>
      </c>
      <c r="B7" s="65" t="inlineStr">
        <is>
          <t>No blacklist - provably: the contract has no function that can ever freeze an address.</t>
        </is>
      </c>
      <c r="C7" s="65" t="inlineStr">
        <is>
          <t>Source: blacklisted mapping has no setter</t>
        </is>
      </c>
      <c r="D7" s="83" t="inlineStr">
        <is>
          <t>[NEEDS CAVEAT] Blacklist half VERIFIED — the mapping has no setter, no address can ever be blacklisted. But pause() exists; PAUSER_ROLE has no holders today (verified) and the Safe could grant it, freezing ALL transfers. Say it first: an auditor will. ADD: "A global pause exists; PAUSER_ROLE has no holders and the multisig would have to grant it — the 48h timelock makes that public and delayed."</t>
        </is>
      </c>
    </row>
    <row r="8" ht="23.85" customHeight="1" s="55">
      <c r="A8" s="65" t="inlineStr">
        <is>
          <t>Zero-value transfers revert</t>
        </is>
      </c>
      <c r="B8" s="65" t="inlineStr">
        <is>
          <t>Disclosed up front with its scope: only a transfer of exactly zero tokens is affected. Normal transfers, swaps and the new liquidity route all passed fork tests.</t>
        </is>
      </c>
      <c r="C8" s="65" t="inlineStr">
        <is>
          <t>Fork transcript; /audit table</t>
        </is>
      </c>
      <c r="D8" s="83" t="inlineStr">
        <is>
          <t>[HOLDS] Scope confirmed on fork: only exactly-zero transfers revert. A 100 TTS taxed transfer delivered 99 TTS correctly.</t>
        </is>
      </c>
    </row>
    <row r="9" ht="23.85" customHeight="1" s="55">
      <c r="A9" s="65" t="inlineStr">
        <is>
          <t>Old audit claims were wrong</t>
        </is>
      </c>
      <c r="B9" s="65" t="inlineStr">
        <is>
          <t>Full audit history disclosed, each finding mapped to the deployed code, and every public claim re-verified against chain and corrected.</t>
        </is>
      </c>
      <c r="C9" s="65" t="inlineStr">
        <is>
          <t>/audit status table; original report</t>
        </is>
      </c>
      <c r="D9" s="83" t="inlineStr">
        <is>
          <t>[HOLDS once the mapping table ships] The finding-to-bytecode table is being built and will be published on /audit.</t>
        </is>
      </c>
    </row>
    <row r="10" ht="23.85" customHeight="1" s="55">
      <c r="A10" s="65" t="inlineStr">
        <is>
          <t>Thin liquidity / Blockaid 'spam' label</t>
        </is>
      </c>
      <c r="B10" s="65" t="inlineStr">
        <is>
          <t>Deeper liquidity with zero cash outlay: card buys up to $1,000 at 3.26% impact ($500 at 1.92%) once Safe tx #1 executes, funded with 0.0101% of the Safe's TTS. The no-blacklist finding backs the scanner appeal.</t>
        </is>
      </c>
      <c r="C10" s="65" t="inlineStr">
        <is>
          <t>Fork measurements; Blockaid update</t>
        </is>
      </c>
      <c r="D10" s="83" t="inlineStr">
        <is>
          <t>[HOLDS — add a condition] Fork-measured. Say "once Safe tx #1 executes" every single time; it is not true yet.</t>
        </is>
      </c>
    </row>
    <row r="11" ht="23.85" customHeight="1" s="55">
      <c r="A11" s="65" t="inlineStr">
        <is>
          <t>Placeholder profiles</t>
        </is>
      </c>
      <c r="B11" s="85" t="inlineStr">
        <is>
          <t>[STRUCK 2026-09-25] AI Models division: always-on demo content plus a clearly labeled AI category - the category Fanvue built its growth on with the Miss AI pageant.</t>
        </is>
      </c>
      <c r="C11" s="65" t="inlineStr">
        <is>
          <t>Board screenshots; rotation log</t>
        </is>
      </c>
      <c r="D11" s="84" t="inlineStr">
        <is>
          <t>[STRUCK] Not built. Zero AI profiles exist, no badge or filter ships in any client, and ops/sale/rotation_log.csv does not exist. Blocked on IMAGE_API_KEY. USE INSTEAD: "Schema and constraints for a labelled AI-model category are deployed; generation and display are not built yet." Do not offer board screenshots or a rotation log as proof.</t>
        </is>
      </c>
    </row>
    <row r="12" ht="23.85" customHeight="1" s="55">
      <c r="A12" s="65" t="inlineStr">
        <is>
          <t>No iOS App Store listing</t>
        </is>
      </c>
      <c r="B12" s="85" t="inlineStr">
        <is>
          <t>[STRUCK 2026-09-25] iPhone users are served through the web app and Telegram - no Apple review gate and no 30% commission. The TestFlight build transfers for a buyer who wants a native route.</t>
        </is>
      </c>
      <c r="C12" s="65" t="inlineStr">
        <is>
          <t>PWA install guide; TestFlight build</t>
        </is>
      </c>
      <c r="D12" s="84" t="inlineStr">
        <is>
          <t>[STRUCK] "TestFlight build transfers" is false — mobile/eas.json still holds three REPLACE_WITH_* placeholders and there is no Apple Developer account, so no TestFlight build exists. The PWA install guide does not exist either. USE INSTEAD: "The iOS project is configured for TestFlight and needs only an Apple Developer account." The no-review-gate / no-30%-commission points do hold.</t>
        </is>
      </c>
    </row>
    <row r="13" ht="23.85" customHeight="1" s="55">
      <c r="A13" s="65" t="inlineStr">
        <is>
          <t>Main X account locked</t>
        </is>
      </c>
      <c r="B13" s="65" t="inlineStr">
        <is>
          <t>Telegram-first community with a native bot, plus the automated Social Composer ready for any handle the buyer runs.</t>
        </is>
      </c>
      <c r="C13" s="65" t="inlineStr">
        <is>
          <t>Composer logs; Telegram stats</t>
        </is>
      </c>
      <c r="D13" s="83" t="inlineStr">
        <is>
          <t>[UNVERIFIED] Could not verify X account state or Telegram community size from here. Do not cite "Telegram stats" or "Composer logs" as proof without pulling the actual numbers.</t>
        </is>
      </c>
    </row>
    <row r="14" ht="23.85" customHeight="1" s="55">
      <c r="A14" s="65" t="inlineStr">
        <is>
          <t>Founder is part-time</t>
        </is>
      </c>
      <c r="B14" s="85" t="inlineStr">
        <is>
          <t>[STRUCK 2026-09-25] Runs on automation: settlement autopilot, Social Composer, daily digest, weekly AI rotation. Documented for AI-assisted maintenance (CLAUDE.md).</t>
        </is>
      </c>
      <c r="C14" s="65" t="inlineStr">
        <is>
          <t>Ops runbook; cost sheet</t>
        </is>
      </c>
      <c r="D14" s="84" t="inlineStr">
        <is>
          <t>[STRUCK IN PART] "Weekly AI rotation" does not exist. The daily digest is built and scheduled but has never sent (no Proton Bridge credentials). USE INSTEAD: "Runs on automation: settlement autopilot (proven over four consecutive rounds), Social Composer, and a daily operations digest."</t>
        </is>
      </c>
    </row>
    <row r="15" ht="23.85" customHeight="1" s="55">
      <c r="A15" s="65" t="inlineStr">
        <is>
          <t>Adult-adjacent</t>
        </is>
      </c>
      <c r="B15" s="65" t="inlineStr">
        <is>
          <t>Brand-safe SFW public face with a direct channel into the creator-agency market - fits mainstream marketplaces and adult-industry strategic buyers alike.</t>
        </is>
      </c>
      <c r="C15" s="65" t="inlineStr">
        <is>
          <t>Site + agency pipeline</t>
        </is>
      </c>
      <c r="D15" s="83" t="inlineStr">
        <is>
          <t>[HOLDS with care] SFW public face is true and now enforced. The "agency pipeline" is a built outreach engine that has never sent — do not imply active relationships.</t>
        </is>
      </c>
    </row>
    <row r="16" ht="15" customHeight="1" s="55">
      <c r="A16" s="65" t="inlineStr">
        <is>
          <t>Legal questions</t>
        </is>
      </c>
      <c r="B16" s="85" t="inlineStr">
        <is>
          <t>[STRUCK 2026-09-25] Legal review complete; free signup tokens and a free first vote built in.</t>
        </is>
      </c>
      <c r="C16" s="65" t="inlineStr">
        <is>
          <t>Counsel sign-off letter</t>
        </is>
      </c>
      <c r="D16" s="84" t="inlineStr">
        <is>
          <t>[STRUCK] No counsel sign-off letter exists — outputs/legal/ is all self-drafted (risk memo, terms, privacy, DMCA, trademark). "Free first vote" is not a feature. USE INSTEAD: "Policies drafted in-house plus a written risk memo; no external counsel opinion yet. New players get 500 $TTS free on signup — 100 minimum votes — so nobody has to buy in to play."</t>
        </is>
      </c>
    </row>
    <row r="17" ht="15" customHeight="1" s="55">
      <c r="A17" s="65" t="inlineStr">
        <is>
          <t>Token has no market price</t>
        </is>
      </c>
      <c r="B17" s="65" t="inlineStr">
        <is>
          <t>Priced on the engine and distribution, not a chart - the buyer's price doesn't move with the market.</t>
        </is>
      </c>
      <c r="C17" s="65" t="inlineStr">
        <is>
          <t>One-pager asset list</t>
        </is>
      </c>
      <c r="D17" s="83" t="inlineStr">
        <is>
          <t>[NEEDS CAVEAT] There IS a thin market price via the Uniswap v2 pool. Say "no meaningful market price" or drop it. Never state the figure.</t>
        </is>
      </c>
    </row>
    <row r="18" ht="15" customHeight="1" s="55">
      <c r="A18" s="65" t="inlineStr">
        <is>
          <t>Google Play requires a closed test</t>
        </is>
      </c>
      <c r="B18" s="85" t="inlineStr">
        <is>
          <t>[STRUCK 2026-09-25] Native Android distribution in progress: APK live now, Play listing through Google's quality gate.</t>
        </is>
      </c>
      <c r="C18" s="65" t="inlineStr">
        <is>
          <t>Play Console status</t>
        </is>
      </c>
      <c r="D18" s="84" t="inlineStr">
        <is>
          <t>[STRUCK] "APK live now" is false. No .apk exists in the repo or any route; app.temptationtoken.io/download returns the SPA catch-all shell, not a download. No Play Console app exists. USE INSTEAD: "Android build is code-complete and builds via EAS; no APK published yet."</t>
        </is>
      </c>
    </row>
    <row r="19" ht="23.85" customHeight="1" s="55">
      <c r="A19" s="65" t="inlineStr">
        <is>
          <t>The mechanic is copyable</t>
        </is>
      </c>
      <c r="B19" s="65" t="inlineStr">
        <is>
          <t>Time-to-market: build, deployment, apps, entity and distribution groundwork are done - the replacement-cost sheet shows what a buyer skips.</t>
        </is>
      </c>
      <c r="C19" s="65" t="inlineStr">
        <is>
          <t>Replacement-cost sheet</t>
        </is>
      </c>
      <c r="D19" s="83" t="inlineStr">
        <is>
          <t>[HOLDS once the sheet ships] Depends on outputs/sale/data_room/replacement_cost.md.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4" min="1" max="1"/>
    <col width="36" customWidth="1" style="54" min="2" max="2"/>
    <col width="44" customWidth="1" style="54" min="3" max="3"/>
    <col width="30" customWidth="1" style="54" min="4" max="4"/>
    <col width="16" customWidth="1" style="54" min="5" max="5"/>
    <col width="20" customWidth="1" style="54" min="6" max="6"/>
    <col width="13" customWidth="1" style="54" min="7" max="7"/>
  </cols>
  <sheetData>
    <row r="1" ht="15" customHeight="1" s="55">
      <c r="A1" s="64" t="inlineStr">
        <is>
          <t>Venue</t>
        </is>
      </c>
      <c r="B1" s="64" t="inlineStr">
        <is>
          <t>What it is</t>
        </is>
      </c>
      <c r="C1" s="64" t="inlineStr">
        <is>
          <t>Role in this sale</t>
        </is>
      </c>
      <c r="D1" s="64" t="inlineStr">
        <is>
          <t>Seller cost</t>
        </is>
      </c>
      <c r="E1" s="64" t="inlineStr">
        <is>
          <t>Timing</t>
        </is>
      </c>
      <c r="F1" s="64" t="inlineStr">
        <is>
          <t>Site</t>
        </is>
      </c>
      <c r="G1" s="64" t="inlineStr">
        <is>
          <t>Status</t>
        </is>
      </c>
    </row>
    <row r="2" ht="23.85" customHeight="1" s="55">
      <c r="A2" s="65" t="inlineStr">
        <is>
          <t>Acquire.Fi</t>
        </is>
      </c>
      <c r="B2" s="65" t="inlineStr">
        <is>
          <t>Web3 M&amp;A marketplace for crypto-native businesses</t>
        </is>
      </c>
      <c r="C2" s="65" t="inlineStr">
        <is>
          <t>Primary venue</t>
        </is>
      </c>
      <c r="D2" s="65" t="inlineStr">
        <is>
          <t>Seller form; selective acceptance</t>
        </is>
      </c>
      <c r="E2" s="65" t="inlineStr">
        <is>
          <t>Submit Oct 1</t>
        </is>
      </c>
      <c r="F2" s="65" t="inlineStr">
        <is>
          <t>acquire.fi</t>
        </is>
      </c>
      <c r="G2" s="67" t="inlineStr">
        <is>
          <t>Not started</t>
        </is>
      </c>
    </row>
    <row r="3" ht="15" customHeight="1" s="55">
      <c r="A3" s="65" t="inlineStr">
        <is>
          <t>SideProjectors</t>
        </is>
      </c>
      <c r="B3" s="65" t="inlineStr">
        <is>
          <t>Free listing, no commission, no escrow</t>
        </is>
      </c>
      <c r="C3" s="65" t="inlineStr">
        <is>
          <t>Secondary - fast</t>
        </is>
      </c>
      <c r="D3" s="65" t="inlineStr">
        <is>
          <t>Free / 0%</t>
        </is>
      </c>
      <c r="E3" s="65" t="inlineStr">
        <is>
          <t>Submit Oct 1</t>
        </is>
      </c>
      <c r="F3" s="65" t="inlineStr">
        <is>
          <t>sideprojectors.com</t>
        </is>
      </c>
      <c r="G3" s="67" t="inlineStr">
        <is>
          <t>Not started</t>
        </is>
      </c>
    </row>
    <row r="4" ht="23.85" customHeight="1" s="55">
      <c r="A4" s="65" t="inlineStr">
        <is>
          <t>IndieMaker</t>
        </is>
      </c>
      <c r="B4" s="65" t="inlineStr">
        <is>
          <t>Accepts pre-revenue</t>
        </is>
      </c>
      <c r="C4" s="65" t="inlineStr">
        <is>
          <t>Secondary</t>
        </is>
      </c>
      <c r="D4" s="65" t="inlineStr">
        <is>
          <t>3% on pre-revenue (per July 2026 comparison)</t>
        </is>
      </c>
      <c r="E4" s="65" t="inlineStr">
        <is>
          <t>Submit Oct 1</t>
        </is>
      </c>
      <c r="F4" s="65" t="inlineStr">
        <is>
          <t>indiemaker.co</t>
        </is>
      </c>
      <c r="G4" s="67" t="inlineStr">
        <is>
          <t>Not started</t>
        </is>
      </c>
    </row>
    <row r="5" ht="23.85" customHeight="1" s="55">
      <c r="A5" s="65" t="inlineStr">
        <is>
          <t>ExitBid</t>
        </is>
      </c>
      <c r="B5" s="65" t="inlineStr">
        <is>
          <t>5-day auction format</t>
        </is>
      </c>
      <c r="C5" s="65" t="inlineStr">
        <is>
          <t>Optional - price discovery</t>
        </is>
      </c>
      <c r="D5" s="65" t="inlineStr">
        <is>
          <t>$199 flat, 0% (their own comparison - verify)</t>
        </is>
      </c>
      <c r="E5" s="65" t="inlineStr">
        <is>
          <t>Optional</t>
        </is>
      </c>
      <c r="F5" s="65" t="inlineStr">
        <is>
          <t>exitbid.io</t>
        </is>
      </c>
      <c r="G5" s="67" t="inlineStr">
        <is>
          <t>Not started</t>
        </is>
      </c>
    </row>
    <row r="6" ht="23.85" customHeight="1" s="55">
      <c r="A6" s="65" t="inlineStr">
        <is>
          <t>Flippa</t>
        </is>
      </c>
      <c r="B6" s="65" t="inlineStr">
        <is>
          <t>Largest general marketplace</t>
        </is>
      </c>
      <c r="C6" s="65" t="inlineStr">
        <is>
          <t>Only with SFW engine framing + agency pilot disclosed, after Flippa confirms eligibility</t>
        </is>
      </c>
      <c r="D6" s="65" t="inlineStr">
        <is>
          <t>$49-$499 listing + 5-10%</t>
        </is>
      </c>
      <c r="E6" s="65" t="inlineStr">
        <is>
          <t>Ask support first</t>
        </is>
      </c>
      <c r="F6" s="65" t="inlineStr">
        <is>
          <t>flippa.com</t>
        </is>
      </c>
      <c r="G6" s="67" t="inlineStr">
        <is>
          <t>Not started</t>
        </is>
      </c>
    </row>
    <row r="7" ht="23.85" customHeight="1" s="55">
      <c r="A7" s="65" t="inlineStr">
        <is>
          <t>Acquire.com</t>
        </is>
      </c>
      <c r="B7" s="65" t="inlineStr">
        <is>
          <t>Curated startup marketplace</t>
        </is>
      </c>
      <c r="C7" s="65" t="inlineStr">
        <is>
          <t>After first revenue (pre-revenue only for SaaS/AI)</t>
        </is>
      </c>
      <c r="D7" s="65" t="inlineStr">
        <is>
          <t>Monthly listing fee + closing commission</t>
        </is>
      </c>
      <c r="E7" s="65" t="inlineStr">
        <is>
          <t>Later</t>
        </is>
      </c>
      <c r="F7" s="65" t="inlineStr">
        <is>
          <t>acquire.com</t>
        </is>
      </c>
      <c r="G7" s="67" t="inlineStr">
        <is>
          <t>Not started</t>
        </is>
      </c>
    </row>
    <row r="8" ht="15" customHeight="1" s="55">
      <c r="A8" s="65" t="inlineStr">
        <is>
          <t>Microns</t>
        </is>
      </c>
      <c r="B8" s="65" t="inlineStr">
        <is>
          <t>Profitable micro-startups</t>
        </is>
      </c>
      <c r="C8" s="65" t="inlineStr">
        <is>
          <t>Skip (pre-revenue declined)</t>
        </is>
      </c>
      <c r="D8" s="65" t="inlineStr">
        <is>
          <t>6-10% success fee</t>
        </is>
      </c>
      <c r="E8" s="65" t="inlineStr">
        <is>
          <t>Skip</t>
        </is>
      </c>
      <c r="F8" s="65" t="inlineStr">
        <is>
          <t>microns.io</t>
        </is>
      </c>
      <c r="G8" s="67" t="inlineStr">
        <is>
          <t>Not started</t>
        </is>
      </c>
    </row>
    <row r="9" ht="15" customHeight="1" s="55">
      <c r="A9" s="65" t="inlineStr">
        <is>
          <t>Direct outreach</t>
        </is>
      </c>
      <c r="B9" s="65" t="inlineStr">
        <is>
          <t>Acquirers tab - the real buyers</t>
        </is>
      </c>
      <c r="C9" s="65" t="inlineStr">
        <is>
          <t>Primary</t>
        </is>
      </c>
      <c r="D9" s="65" t="inlineStr">
        <is>
          <t>0%</t>
        </is>
      </c>
      <c r="E9" s="65" t="inlineStr">
        <is>
          <t>Oct 1 launch</t>
        </is>
      </c>
      <c r="F9" s="65" t="inlineStr">
        <is>
          <t>-</t>
        </is>
      </c>
      <c r="G9" s="67" t="inlineStr">
        <is>
          <t>Not started</t>
        </is>
      </c>
    </row>
    <row r="10" ht="23.85" customHeight="1" s="55">
      <c r="A10" s="65" t="inlineStr">
        <is>
          <t>r/SideProject, r/SaaSforSale</t>
        </is>
      </c>
      <c r="B10" s="65" t="inlineStr">
        <is>
          <t>Communities</t>
        </is>
      </c>
      <c r="C10" s="65" t="inlineStr">
        <is>
          <t>Check each sub's rules</t>
        </is>
      </c>
      <c r="D10" s="65" t="inlineStr">
        <is>
          <t>Free</t>
        </is>
      </c>
      <c r="E10" s="65" t="inlineStr">
        <is>
          <t>Oct 1 if allowed</t>
        </is>
      </c>
      <c r="F10" s="65" t="inlineStr">
        <is>
          <t>reddit.com</t>
        </is>
      </c>
      <c r="G10" s="67" t="inlineStr">
        <is>
          <t>Not started</t>
        </is>
      </c>
    </row>
    <row r="11" ht="15" customHeight="1" s="55">
      <c r="A11" s="65" t="inlineStr">
        <is>
          <t>Base ecosystem</t>
        </is>
      </c>
      <c r="B11" s="65" t="inlineStr">
        <is>
          <t>base.dev registration + builder channels</t>
        </is>
      </c>
      <c r="C11" s="65" t="inlineStr">
        <is>
          <t>Visibility with Web3 builders</t>
        </is>
      </c>
      <c r="D11" s="65" t="inlineStr">
        <is>
          <t>Free</t>
        </is>
      </c>
      <c r="E11" s="65" t="inlineStr">
        <is>
          <t>Sep 29</t>
        </is>
      </c>
      <c r="F11" s="65" t="inlineStr">
        <is>
          <t>base.dev</t>
        </is>
      </c>
      <c r="G11" s="67" t="inlineStr">
        <is>
          <t>Not started</t>
        </is>
      </c>
    </row>
    <row r="13" ht="54.75" customHeight="1" s="55">
      <c r="A13" s="57" t="inlineStr">
        <is>
          <t>Notes: Flippa's rules exclude adult businesses including OnlyFans-supporting ones and bar selling accounts on other platforms — use it only if Flippa confirms eligibility for the SFW engine framing with the agency pilot disclosed. Acquire.com accepts pre-revenue listings only for functional SaaS/AI products. Fee figures for IndieMaker/ExitBid/SideProjectors/Flippa come from a July 2026 comparison written by ExitBid — verify on each site.</t>
        </is>
      </c>
    </row>
  </sheetData>
  <mergeCells count="1">
    <mergeCell ref="A13:G13"/>
  </mergeCells>
  <dataValidations count="1">
    <dataValidation sqref="G2:G11" showDropDown="0" showInputMessage="0" showErrorMessage="0" allowBlank="1" type="list" errorStyle="stop" operator="between">
      <formula1>"Not started,In progress,Done,Blocked,Skipped"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4" min="1" max="1"/>
    <col width="80" customWidth="1" style="54" min="2" max="2"/>
    <col width="20" customWidth="1" style="54" min="3" max="3"/>
    <col width="44" customWidth="1" style="54" min="4" max="4"/>
  </cols>
  <sheetData>
    <row r="1" ht="15" customHeight="1" s="55">
      <c r="A1" s="64" t="inlineStr">
        <is>
          <t>Channel</t>
        </is>
      </c>
      <c r="B1" s="64" t="inlineStr">
        <is>
          <t>Plan</t>
        </is>
      </c>
      <c r="C1" s="64" t="inlineStr">
        <is>
          <t>Timing</t>
        </is>
      </c>
      <c r="D1" s="64" t="inlineStr">
        <is>
          <t>Why it's a strength</t>
        </is>
      </c>
    </row>
    <row r="2" ht="15" customHeight="1" s="55">
      <c r="A2" s="65" t="inlineStr">
        <is>
          <t>Android - APK</t>
        </is>
      </c>
      <c r="B2" s="65" t="inlineStr">
        <is>
          <t>Live now: direct download link on the homepage</t>
        </is>
      </c>
      <c r="C2" s="65" t="inlineStr">
        <is>
          <t>Done / keep</t>
        </is>
      </c>
      <c r="D2" s="65" t="inlineStr">
        <is>
          <t>Buyers can install it today</t>
        </is>
      </c>
    </row>
    <row r="3" ht="35.05" customHeight="1" s="55">
      <c r="A3" s="65" t="inlineStr">
        <is>
          <t>Android - Google Play</t>
        </is>
      </c>
      <c r="B3" s="65" t="inlineStr">
        <is>
          <t>Personal account: 14-day closed test with 12+ testers, then apply for production. Organization account: submit now. Listing copy: 'vote for your favorites, win trophies' - declare tokenized assets, no earnings hype.</t>
        </is>
      </c>
      <c r="C3" s="65" t="inlineStr">
        <is>
          <t>Start Sep 25</t>
        </is>
      </c>
      <c r="D3" s="65" t="inlineStr">
        <is>
          <t>Live around mid-October if the test starts Sep 25</t>
        </is>
      </c>
    </row>
    <row r="4" ht="15" customHeight="1" s="55">
      <c r="A4" s="65" t="inlineStr">
        <is>
          <t>iPhone - web app (PWA)</t>
        </is>
      </c>
      <c r="B4" s="65" t="inlineStr">
        <is>
          <t>Add-to-Home-Screen install guide on the site; full app experience with no store gate</t>
        </is>
      </c>
      <c r="C4" s="65" t="inlineStr">
        <is>
          <t>Sep 26 site rebuild</t>
        </is>
      </c>
      <c r="D4" s="65" t="inlineStr">
        <is>
          <t>No Apple review, no 30% fee</t>
        </is>
      </c>
    </row>
    <row r="5" ht="15" customHeight="1" s="55">
      <c r="A5" s="65" t="inlineStr">
        <is>
          <t>iPhone - Telegram Mini App</t>
        </is>
      </c>
      <c r="B5" s="65" t="inlineStr">
        <is>
          <t>@TemptationTokenBot opens app.temptationtoken.io inside Telegram</t>
        </is>
      </c>
      <c r="C5" s="65" t="inlineStr">
        <is>
          <t>Existing path</t>
        </is>
      </c>
      <c r="D5" s="65" t="inlineStr">
        <is>
          <t>Crypto-native users stay in Telegram</t>
        </is>
      </c>
    </row>
    <row r="6" ht="35.05" customHeight="1" s="55">
      <c r="A6" s="65" t="inlineStr">
        <is>
          <t>iOS - App Store</t>
        </is>
      </c>
      <c r="B6" s="65" t="inlineStr">
        <is>
          <t>No submission: Apple's guideline 1.2 names 'hot-or-not' voting on real people as not belonging on the App Store. The TestFlight build transfers with the sale for a buyer who wants to pursue a native route.</t>
        </is>
      </c>
      <c r="C6" s="65" t="inlineStr">
        <is>
          <t>Not submitting</t>
        </is>
      </c>
      <c r="D6" s="65" t="inlineStr">
        <is>
          <t>Keeps the listing asset clean of a rejection record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4" min="1" max="1"/>
    <col width="70" customWidth="1" style="54" min="2" max="2"/>
    <col width="30" customWidth="1" style="54" min="3" max="3"/>
    <col width="46" customWidth="1" style="54" min="4" max="4"/>
  </cols>
  <sheetData>
    <row r="1" ht="15" customHeight="1" s="55">
      <c r="A1" s="58" t="inlineStr">
        <is>
          <t>Audit readiness — verified findings on the deployed contracts and how each is disclosed or answered</t>
        </is>
      </c>
    </row>
    <row r="2" ht="15" customHeight="1" s="55">
      <c r="A2" s="64" t="inlineStr">
        <is>
          <t>Contract</t>
        </is>
      </c>
      <c r="B2" s="64" t="inlineStr">
        <is>
          <t>Expected finding</t>
        </is>
      </c>
      <c r="C2" s="64" t="inlineStr">
        <is>
          <t>Typical category</t>
        </is>
      </c>
      <c r="D2" s="64" t="inlineStr">
        <is>
          <t>Mitigation before submission</t>
        </is>
      </c>
    </row>
    <row r="3" ht="23.85" customHeight="1" s="55">
      <c r="A3" s="65" t="inlineStr">
        <is>
          <t>Token</t>
        </is>
      </c>
      <c r="B3" s="65" t="inlineStr">
        <is>
          <t>Governed supply: the Safe can grant itself MINTER_ROLE (proved on a fork: 69B -&gt; 70B)</t>
        </is>
      </c>
      <c r="C3" s="65" t="inlineStr">
        <is>
          <t>Centralization - can't be changed (immutable)</t>
        </is>
      </c>
      <c r="D3" s="65" t="inlineStr">
        <is>
          <t>Disclosed; 2-of-2 multisig; 48h timelock package ready for the buyer at close</t>
        </is>
      </c>
    </row>
    <row r="4" ht="23.85" customHeight="1" s="55">
      <c r="A4" s="65" t="inlineStr">
        <is>
          <t>Token</t>
        </is>
      </c>
      <c r="B4" s="65" t="inlineStr">
        <is>
          <t>transfer(x, 0) reverts with an arithmetic panic; the recorded M-1 fix never deployed</t>
        </is>
      </c>
      <c r="C4" s="65" t="inlineStr">
        <is>
          <t>Low/Medium - can't be changed (immutable)</t>
        </is>
      </c>
      <c r="D4" s="65" t="inlineStr">
        <is>
          <t>Disclosed with scope; normal transfers and swaps pass; a buyer can migrate to a v2 token if wanted</t>
        </is>
      </c>
    </row>
    <row r="5" ht="15" customHeight="1" s="55">
      <c r="A5" s="65" t="inlineStr">
        <is>
          <t>Token</t>
        </is>
      </c>
      <c r="B5" s="65" t="inlineStr">
        <is>
          <t>Not a proxy - the token is immutable (earlier copy said UUPS)</t>
        </is>
      </c>
      <c r="C5" s="65" t="inlineStr">
        <is>
          <t>Informational</t>
        </is>
      </c>
      <c r="D5" s="65" t="inlineStr">
        <is>
          <t>App copy corrected; WordPress copy fixed by T66</t>
        </is>
      </c>
    </row>
    <row r="6" ht="15" customHeight="1" s="55">
      <c r="A6" s="65" t="inlineStr">
        <is>
          <t>Token</t>
        </is>
      </c>
      <c r="B6" s="65" t="inlineStr">
        <is>
          <t>Blacklist mapping has no setter</t>
        </is>
      </c>
      <c r="C6" s="65" t="inlineStr">
        <is>
          <t>Positive finding</t>
        </is>
      </c>
      <c r="D6" s="65" t="inlineStr">
        <is>
          <t>Evidence for the Blockaid / GoPlus update (T73)</t>
        </is>
      </c>
    </row>
    <row r="7" ht="15" customHeight="1" s="55">
      <c r="A7" s="65" t="inlineStr">
        <is>
          <t>Token</t>
        </is>
      </c>
      <c r="B7" s="65" t="inlineStr">
        <is>
          <t>1% transfer tax + tax-exemption control</t>
        </is>
      </c>
      <c r="C7" s="65" t="inlineStr">
        <is>
          <t>Owner privilege</t>
        </is>
      </c>
      <c r="D7" s="65" t="inlineStr">
        <is>
          <t>Disclosed; exempt pools listed</t>
        </is>
      </c>
    </row>
    <row r="8" ht="15" customHeight="1" s="55">
      <c r="A8" s="65" t="inlineStr">
        <is>
          <t>Original SolidProof report</t>
        </is>
      </c>
      <c r="B8" s="65" t="inlineStr">
        <is>
          <t>1 critical + 3 high</t>
        </is>
      </c>
      <c r="C8" s="65" t="inlineStr">
        <is>
          <t>Map each to the deployed code</t>
        </is>
      </c>
      <c r="D8" s="65" t="inlineStr">
        <is>
          <t>T69 - fixed / not applicable / live; gate before card go-live</t>
        </is>
      </c>
    </row>
    <row r="9" ht="15" customHeight="1" s="55">
      <c r="A9" s="65" t="inlineStr">
        <is>
          <t>TTSVotingV3d</t>
        </is>
      </c>
      <c r="B9" s="65" t="inlineStr">
        <is>
          <t>Privileged settlement fallback used by the keeper autopilot</t>
        </is>
      </c>
      <c r="C9" s="65" t="inlineStr">
        <is>
          <t>Centralization / informational</t>
        </is>
      </c>
      <c r="D9" s="65" t="inlineStr">
        <is>
          <t>Scoped role; settlement log published</t>
        </is>
      </c>
    </row>
    <row r="10" ht="15" customHeight="1" s="55">
      <c r="A10" s="65" t="inlineStr">
        <is>
          <t>TTSVotingV3d</t>
        </is>
      </c>
      <c r="B10" s="65" t="inlineStr">
        <is>
          <t>Chainlink VRF subscription must stay funded</t>
        </is>
      </c>
      <c r="C10" s="65" t="inlineStr">
        <is>
          <t>Informational</t>
        </is>
      </c>
      <c r="D10" s="65" t="inlineStr">
        <is>
          <t>Auto-funder with reserve floor; LINK recovery (T70)</t>
        </is>
      </c>
    </row>
    <row r="11" ht="15" customHeight="1" s="55">
      <c r="A11" s="65" t="inlineStr">
        <is>
          <t>Staking proxy</t>
        </is>
      </c>
      <c r="B11" s="65" t="inlineStr">
        <is>
          <t>Upgradeable (a real proxy - reverts correctly)</t>
        </is>
      </c>
      <c r="C11" s="65" t="inlineStr">
        <is>
          <t>Centralization</t>
        </is>
      </c>
      <c r="D11" s="65" t="inlineStr">
        <is>
          <t>Multisig; timelock option at close</t>
        </is>
      </c>
    </row>
    <row r="12" ht="15" customHeight="1" s="55">
      <c r="A12" s="65" t="inlineStr">
        <is>
          <t>Trophy NFT</t>
        </is>
      </c>
      <c r="B12" s="65" t="inlineStr">
        <is>
          <t>Minter role</t>
        </is>
      </c>
      <c r="C12" s="65" t="inlineStr">
        <is>
          <t>Low / informational</t>
        </is>
      </c>
      <c r="D12" s="65" t="inlineStr">
        <is>
          <t>Held by the voting contract only; document</t>
        </is>
      </c>
    </row>
    <row r="14" ht="15" customHeight="1" s="55">
      <c r="A14" s="80" t="inlineStr">
        <is>
          <t>Audit budget reference (2026 market)</t>
        </is>
      </c>
    </row>
    <row r="15" ht="15" customHeight="1" s="55">
      <c r="A15" s="81" t="inlineStr">
        <is>
          <t>Simple token / NFT</t>
        </is>
      </c>
      <c r="B15" s="86" t="inlineStr">
        <is>
          <t>$1,000-$10,000 · 2-8 days</t>
        </is>
      </c>
    </row>
    <row r="16" ht="15" customHeight="1" s="55">
      <c r="A16" s="81" t="inlineStr">
        <is>
          <t>Staking / governance / NFT systems</t>
        </is>
      </c>
      <c r="B16" s="86" t="inlineStr">
        <is>
          <t>$5,000-$20,000 · 1-3 weeks</t>
        </is>
      </c>
    </row>
    <row r="17" ht="15" customHeight="1" s="55">
      <c r="A17" s="81" t="inlineStr">
        <is>
          <t>Rush turnaround</t>
        </is>
      </c>
      <c r="B17" s="86" t="inlineStr">
        <is>
          <t>+20-50%</t>
        </is>
      </c>
    </row>
    <row r="18" ht="15" customHeight="1" s="55">
      <c r="A18" s="81" t="inlineStr">
        <is>
          <t>Source: QuillAudits, 'Smart Contract Audit Cost 2026' (market ranges). Sept 25 decision: no paid audit before an offer - the token is immutable, so a new report can only restate the two findings that can't change. Get a quote for negotiation; fund one only if a serious buyer makes it a closing condition.</t>
        </is>
      </c>
    </row>
    <row r="20" ht="15" customHeight="1" s="55">
      <c r="A20" s="58" t="inlineStr">
        <is>
          <t>Liquidity + card on-ramp plan (Safe tx #1 built and fork-verified; no cash outlay)</t>
        </is>
      </c>
    </row>
    <row r="21" ht="15" customHeight="1" s="55">
      <c r="A21" s="64" t="inlineStr">
        <is>
          <t>Step</t>
        </is>
      </c>
      <c r="B21" s="64" t="inlineStr">
        <is>
          <t>Action</t>
        </is>
      </c>
      <c r="C21" s="64" t="inlineStr">
        <is>
          <t>Who signs / runs</t>
        </is>
      </c>
      <c r="D21" s="64" t="inlineStr">
        <is>
          <t>Gate</t>
        </is>
      </c>
    </row>
    <row r="22" ht="23.85" customHeight="1" s="55">
      <c r="A22" s="65" t="inlineStr">
        <is>
          <t>1</t>
        </is>
      </c>
      <c r="B22" s="65" t="inlineStr">
        <is>
          <t>Safe tx #1 (built + fork-verified): new concentrated pool, setTaxExempt(pool), single-sided position funded with 0.0101% of the Safe's 10B TTS</t>
        </is>
      </c>
      <c r="C22" s="65" t="inlineStr">
        <is>
          <t>Jim + Mike sign (T10)</t>
        </is>
      </c>
      <c r="D22" s="65" t="inlineStr">
        <is>
          <t>Expires Oct 9 - rebuild if price moves</t>
        </is>
      </c>
    </row>
    <row r="23" ht="23.85" customHeight="1" s="55">
      <c r="A23" s="65" t="inlineStr">
        <is>
          <t>2</t>
        </is>
      </c>
      <c r="B23" s="65" t="inlineStr">
        <is>
          <t>Measured result: max card buy ~$50 -&gt; $1,000; $500 at 1.92% impact, $1,000 at 3.26%</t>
        </is>
      </c>
      <c r="C23" s="65" t="inlineStr">
        <is>
          <t>Claude Code</t>
        </is>
      </c>
      <c r="D23" s="65" t="inlineStr">
        <is>
          <t>Measured by actual swaps on a fork</t>
        </is>
      </c>
    </row>
    <row r="24" ht="15" customHeight="1" s="55">
      <c r="A24" s="65" t="inlineStr">
        <is>
          <t>3</t>
        </is>
      </c>
      <c r="B24" s="65" t="inlineStr">
        <is>
          <t>App routing: quote V2 + the new pool, route the better price; 5% impact guard stays</t>
        </is>
      </c>
      <c r="C24" s="65" t="inlineStr">
        <is>
          <t>Claude Code</t>
        </is>
      </c>
      <c r="D24" s="65" t="inlineStr">
        <is>
          <t>Deploy after tx #1 executes</t>
        </is>
      </c>
    </row>
    <row r="25" ht="15" customHeight="1" s="55">
      <c r="A25" s="65" t="inlineStr">
        <is>
          <t>4</t>
        </is>
      </c>
      <c r="B25" s="65" t="inlineStr">
        <is>
          <t>Map the original audit's critical/high findings to the deployed code</t>
        </is>
      </c>
      <c r="C25" s="65" t="inlineStr">
        <is>
          <t>Claude Code (T69)</t>
        </is>
      </c>
      <c r="D25" s="65" t="inlineStr">
        <is>
          <t>Gate before any card go-live</t>
        </is>
      </c>
    </row>
    <row r="26" ht="15" customHeight="1" s="55">
      <c r="A26" s="65" t="inlineStr">
        <is>
          <t>5</t>
        </is>
      </c>
      <c r="B26" s="65" t="inlineStr">
        <is>
          <t>Transak production key into Vercel; card tab on; $30 live test</t>
        </is>
      </c>
      <c r="C26" s="65" t="inlineStr">
        <is>
          <t>Jim + Claude Code (T07, T20)</t>
        </is>
      </c>
      <c r="D26" s="65" t="inlineStr">
        <is>
          <t>After steps 1 and 4</t>
        </is>
      </c>
    </row>
    <row r="27" ht="23.85" customHeight="1" s="55">
      <c r="A27" s="65" t="inlineStr">
        <is>
          <t>6</t>
        </is>
      </c>
      <c r="B27" s="65" t="inlineStr">
        <is>
          <t>Recover ~44 LINK: cancel + withdraw the retired upkeep; VRF to 25+ LINK first; remainder to ETH for sell-side depth</t>
        </is>
      </c>
      <c r="C27" s="65" t="inlineStr">
        <is>
          <t>Claude Code builds (T70)</t>
        </is>
      </c>
      <c r="D27" s="65" t="inlineStr">
        <is>
          <t>Gate met: Rounds 9-12 settled unattended</t>
        </is>
      </c>
    </row>
    <row r="28" ht="23.85" customHeight="1" s="55">
      <c r="A28" s="65" t="inlineStr">
        <is>
          <t>7</t>
        </is>
      </c>
      <c r="B28" s="65" t="inlineStr">
        <is>
          <t>Blockaid / GoPlus update with the no-blacklist evidence + new liquidity</t>
        </is>
      </c>
      <c r="C28" s="65" t="inlineStr">
        <is>
          <t>Claude Code drafts, Jim sends (T73)</t>
        </is>
      </c>
      <c r="D28" s="65" t="inlineStr">
        <is>
          <t>After tx #1 has run a few days</t>
        </is>
      </c>
    </row>
  </sheetData>
  <mergeCells count="1">
    <mergeCell ref="A18:D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54" min="1" max="1"/>
    <col width="90" customWidth="1" style="54" min="2" max="2"/>
    <col width="14" customWidth="1" style="54" min="3" max="3"/>
    <col width="40" customWidth="1" style="54" min="4" max="4"/>
  </cols>
  <sheetData>
    <row r="1" ht="15" customHeight="1" s="55">
      <c r="A1" s="64" t="inlineStr">
        <is>
          <t>#</t>
        </is>
      </c>
      <c r="B1" s="64" t="inlineStr">
        <is>
          <t>Item</t>
        </is>
      </c>
      <c r="C1" s="64" t="inlineStr">
        <is>
          <t>Status</t>
        </is>
      </c>
      <c r="D1" s="64" t="inlineStr">
        <is>
          <t>Location / link</t>
        </is>
      </c>
    </row>
    <row r="2" ht="15" customHeight="1" s="55">
      <c r="A2" s="65" t="n">
        <v>1</v>
      </c>
      <c r="B2" s="65" t="inlineStr">
        <is>
          <t>One-pager (asset list, what's live, real numbers, offer date)</t>
        </is>
      </c>
      <c r="C2" s="67" t="inlineStr">
        <is>
          <t>Not started</t>
        </is>
      </c>
      <c r="D2" s="65" t="n"/>
    </row>
    <row r="3" ht="15" customHeight="1" s="55">
      <c r="A3" s="65" t="n">
        <v>2</v>
      </c>
      <c r="B3" s="65" t="inlineStr">
        <is>
          <t>2-3 minute Loom demo</t>
        </is>
      </c>
      <c r="C3" s="67" t="inlineStr">
        <is>
          <t>Not started</t>
        </is>
      </c>
      <c r="D3" s="65" t="n"/>
    </row>
    <row r="4" ht="15" customHeight="1" s="55">
      <c r="A4" s="65" t="n">
        <v>3</v>
      </c>
      <c r="B4" s="65" t="inlineStr">
        <is>
          <t>Contract list with Basescan links (token, TTSVotingV3d, staking proxy, Trophy NFT, Safe)</t>
        </is>
      </c>
      <c r="C4" s="67" t="inlineStr">
        <is>
          <t>Not started</t>
        </is>
      </c>
      <c r="D4" s="65" t="n"/>
    </row>
    <row r="5" ht="15" customHeight="1" s="55">
      <c r="A5" s="65" t="n">
        <v>4</v>
      </c>
      <c r="B5" s="65" t="inlineStr">
        <is>
          <t>Audit history: original SolidProof report + finding-status table vs. the deployed code + Slither/Aderyn pre-audit</t>
        </is>
      </c>
      <c r="C5" s="67" t="inlineStr">
        <is>
          <t>Not started</t>
        </is>
      </c>
      <c r="D5" s="65" t="n"/>
    </row>
    <row r="6" ht="15" customHeight="1" s="55">
      <c r="A6" s="65" t="n">
        <v>5</v>
      </c>
      <c r="B6" s="65" t="inlineStr">
        <is>
          <t>Replacement-cost sheet (what it would cost to build this, from git history)</t>
        </is>
      </c>
      <c r="C6" s="67" t="inlineStr">
        <is>
          <t>Not started</t>
        </is>
      </c>
      <c r="D6" s="65" t="n"/>
    </row>
    <row r="7" ht="15" customHeight="1" s="55">
      <c r="A7" s="65" t="n">
        <v>6</v>
      </c>
      <c r="B7" s="65" t="inlineStr">
        <is>
          <t>Round history export (every round: votes, winner, settlement tx, who settled)</t>
        </is>
      </c>
      <c r="C7" s="67" t="inlineStr">
        <is>
          <t>Not started</t>
        </is>
      </c>
      <c r="D7" s="65" t="n"/>
    </row>
    <row r="8" ht="15" customHeight="1" s="55">
      <c r="A8" s="65" t="n">
        <v>7</v>
      </c>
      <c r="B8" s="65" t="inlineStr">
        <is>
          <t>Metrics snapshot (players, votes, signups, card buys, pool depth) - real numbers only</t>
        </is>
      </c>
      <c r="C8" s="67" t="inlineStr">
        <is>
          <t>Not started</t>
        </is>
      </c>
      <c r="D8" s="65" t="n"/>
    </row>
    <row r="9" ht="15" customHeight="1" s="55">
      <c r="A9" s="65" t="n">
        <v>8</v>
      </c>
      <c r="B9" s="65" t="inlineStr">
        <is>
          <t>Architecture doc + CLAUDE.md operating manual</t>
        </is>
      </c>
      <c r="C9" s="67" t="inlineStr">
        <is>
          <t>Not started</t>
        </is>
      </c>
      <c r="D9" s="65" t="n"/>
    </row>
    <row r="10" ht="15" customHeight="1" s="55">
      <c r="A10" s="65" t="n">
        <v>9</v>
      </c>
      <c r="B10" s="65" t="inlineStr">
        <is>
          <t>Monthly running cost sheet (Vercel, Railway, Supabase, LINK, paymaster, hosting, email)</t>
        </is>
      </c>
      <c r="C10" s="67" t="inlineStr">
        <is>
          <t>Not started</t>
        </is>
      </c>
      <c r="D10" s="65" t="n"/>
    </row>
    <row r="11" ht="15" customHeight="1" s="55">
      <c r="A11" s="65" t="n">
        <v>10</v>
      </c>
      <c r="B11" s="65" t="inlineStr">
        <is>
          <t>Transfer runbook (Closing tab) + the ready-to-install timelock package</t>
        </is>
      </c>
      <c r="C11" s="67" t="inlineStr">
        <is>
          <t>Not started</t>
        </is>
      </c>
      <c r="D11" s="65" t="n"/>
    </row>
    <row r="12" ht="15" customHeight="1" s="55">
      <c r="A12" s="65" t="n">
        <v>11</v>
      </c>
      <c r="B12" s="65" t="inlineStr">
        <is>
          <t>Entity pack: Delaware certificate, EIN letter, operating agreement, member consent</t>
        </is>
      </c>
      <c r="C12" s="67" t="inlineStr">
        <is>
          <t>Not started</t>
        </is>
      </c>
      <c r="D12" s="65" t="n"/>
    </row>
    <row r="13" ht="15" customHeight="1" s="55">
      <c r="A13" s="65" t="n">
        <v>12</v>
      </c>
      <c r="B13" s="65" t="inlineStr">
        <is>
          <t>IP assignment (Jim to Blockchain Entertainment LLC)</t>
        </is>
      </c>
      <c r="C13" s="67" t="inlineStr">
        <is>
          <t>Not started</t>
        </is>
      </c>
      <c r="D13" s="65" t="n"/>
    </row>
    <row r="14" ht="15" customHeight="1" s="55">
      <c r="A14" s="65" t="n">
        <v>13</v>
      </c>
      <c r="B14" s="65" t="inlineStr">
        <is>
          <t>Counsel sign-off letter</t>
        </is>
      </c>
      <c r="C14" s="67" t="inlineStr">
        <is>
          <t>Not started</t>
        </is>
      </c>
      <c r="D14" s="65" t="n"/>
    </row>
    <row r="15" ht="15" customHeight="1" s="55">
      <c r="A15" s="65" t="n">
        <v>14</v>
      </c>
      <c r="B15" s="65" t="inlineStr">
        <is>
          <t>Strengths memo (Strengths tab, with the proof for each line)</t>
        </is>
      </c>
      <c r="C15" s="67" t="inlineStr">
        <is>
          <t>Not started</t>
        </is>
      </c>
      <c r="D15" s="65" t="n"/>
    </row>
    <row r="16" ht="15" customHeight="1" s="55">
      <c r="A16" s="65" t="n">
        <v>15</v>
      </c>
      <c r="B16" s="65" t="inlineStr">
        <is>
          <t>Store status (APK, Play, PWA, TestFlight)</t>
        </is>
      </c>
      <c r="C16" s="67" t="inlineStr">
        <is>
          <t>Not started</t>
        </is>
      </c>
      <c r="D16" s="65" t="n"/>
    </row>
    <row r="17" ht="15" customHeight="1" s="55">
      <c r="A17" s="65" t="n">
        <v>16</v>
      </c>
      <c r="B17" s="65" t="inlineStr">
        <is>
          <t>Site + SEO: Search Console / Bing data, indexed pages, AnswerPress content library</t>
        </is>
      </c>
      <c r="C17" s="67" t="inlineStr">
        <is>
          <t>Not started</t>
        </is>
      </c>
      <c r="D17" s="65" t="n"/>
    </row>
    <row r="19" ht="45" customHeight="1" s="55">
      <c r="B19" s="57" t="inlineStr">
        <is>
          <t>Member consent (Mike) — must say: (1) he consents to the sale of Blockchain Entertainment LLC's assets or of the LLC itself; (2) he will sign the Safe owner change and role transfers at close; (3) proceeds split per the operating agreement. Have the lawyer finalize.</t>
        </is>
      </c>
    </row>
  </sheetData>
  <dataValidations count="1">
    <dataValidation sqref="C2:C17" showDropDown="0" showInputMessage="0" showErrorMessage="0" allowBlank="1" type="list" errorStyle="stop" operator="between">
      <formula1>"Not started,In progress,Done,Blocked,Skipped"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4" min="1" max="1"/>
    <col width="80" customWidth="1" style="54" min="2" max="2"/>
    <col width="22" customWidth="1" style="54" min="3" max="3"/>
    <col width="13" customWidth="1" style="54" min="4" max="4"/>
  </cols>
  <sheetData>
    <row r="1" ht="15" customHeight="1" s="55">
      <c r="A1" s="64" t="inlineStr">
        <is>
          <t>Asset</t>
        </is>
      </c>
      <c r="B1" s="64" t="inlineStr">
        <is>
          <t>How it transfers</t>
        </is>
      </c>
      <c r="C1" s="64" t="inlineStr">
        <is>
          <t>Where</t>
        </is>
      </c>
      <c r="D1" s="64" t="inlineStr">
        <is>
          <t>Status</t>
        </is>
      </c>
    </row>
    <row r="2" ht="15" customHeight="1" s="55">
      <c r="A2" s="65" t="inlineStr">
        <is>
          <t>Safe</t>
        </is>
      </c>
      <c r="B2" s="65" t="inlineStr">
        <is>
          <t>Add the buyer's signers, remove Jim's and Mike's (both sign)</t>
        </is>
      </c>
      <c r="C2" s="65" t="inlineStr">
        <is>
          <t>Onchain</t>
        </is>
      </c>
      <c r="D2" s="67" t="inlineStr">
        <is>
          <t>Not started</t>
        </is>
      </c>
    </row>
    <row r="3" ht="15" customHeight="1" s="55">
      <c r="A3" s="65" t="inlineStr">
        <is>
          <t>Contract roles</t>
        </is>
      </c>
      <c r="B3" s="65" t="inlineStr">
        <is>
          <t>Move admin/upgrader to the buyer's Safe or timelock</t>
        </is>
      </c>
      <c r="C3" s="65" t="inlineStr">
        <is>
          <t>Onchain</t>
        </is>
      </c>
      <c r="D3" s="67" t="inlineStr">
        <is>
          <t>Not started</t>
        </is>
      </c>
    </row>
    <row r="4" ht="15" customHeight="1" s="55">
      <c r="A4" s="65" t="inlineStr">
        <is>
          <t>Optional timelock</t>
        </is>
      </c>
      <c r="B4" s="65" t="inlineStr">
        <is>
          <t>Install the 48-hour timelock package if the buyer wants one</t>
        </is>
      </c>
      <c r="C4" s="65" t="inlineStr">
        <is>
          <t>Onchain</t>
        </is>
      </c>
      <c r="D4" s="67" t="inlineStr">
        <is>
          <t>Not started</t>
        </is>
      </c>
    </row>
    <row r="5" ht="15" customHeight="1" s="55">
      <c r="A5" s="65" t="inlineStr">
        <is>
          <t>Treasury + ecosystem tokens</t>
        </is>
      </c>
      <c r="B5" s="65" t="inlineStr">
        <is>
          <t>Send to wallets the buyer generates</t>
        </is>
      </c>
      <c r="C5" s="65" t="inlineStr">
        <is>
          <t>Onchain</t>
        </is>
      </c>
      <c r="D5" s="67" t="inlineStr">
        <is>
          <t>Not started</t>
        </is>
      </c>
    </row>
    <row r="6" ht="15" customHeight="1" s="55">
      <c r="A6" s="65" t="inlineStr">
        <is>
          <t>LP positions</t>
        </is>
      </c>
      <c r="B6" s="65" t="inlineStr">
        <is>
          <t>Transfer the position NFT / LP tokens (and any lock) to the buyer</t>
        </is>
      </c>
      <c r="C6" s="65" t="inlineStr">
        <is>
          <t>Onchain</t>
        </is>
      </c>
      <c r="D6" s="67" t="inlineStr">
        <is>
          <t>Not started</t>
        </is>
      </c>
    </row>
    <row r="7" ht="15" customHeight="1" s="55">
      <c r="A7" s="65" t="inlineStr">
        <is>
          <t>Chainlink VRF subscription</t>
        </is>
      </c>
      <c r="B7" s="65" t="inlineStr">
        <is>
          <t>Request + accept subscription owner transfer</t>
        </is>
      </c>
      <c r="C7" s="65" t="inlineStr">
        <is>
          <t>Onchain</t>
        </is>
      </c>
      <c r="D7" s="67" t="inlineStr">
        <is>
          <t>Not started</t>
        </is>
      </c>
    </row>
    <row r="8" ht="15" customHeight="1" s="55">
      <c r="A8" s="65" t="inlineStr">
        <is>
          <t>Keeper autopilot / Bank wallet</t>
        </is>
      </c>
      <c r="B8" s="65" t="inlineStr">
        <is>
          <t>Buyer deploys a new Bank key; move balances; revoke old</t>
        </is>
      </c>
      <c r="C8" s="65" t="inlineStr">
        <is>
          <t>Onchain + Railway</t>
        </is>
      </c>
      <c r="D8" s="67" t="inlineStr">
        <is>
          <t>Not started</t>
        </is>
      </c>
    </row>
    <row r="9" ht="15" customHeight="1" s="55">
      <c r="A9" s="65" t="inlineStr">
        <is>
          <t>Domains</t>
        </is>
      </c>
      <c r="B9" s="65" t="inlineStr">
        <is>
          <t>temptationtoken.io (+ any others) push to buyer's registrar account</t>
        </is>
      </c>
      <c r="C9" s="65" t="inlineStr">
        <is>
          <t>Registrar</t>
        </is>
      </c>
      <c r="D9" s="67" t="inlineStr">
        <is>
          <t>Not started</t>
        </is>
      </c>
    </row>
    <row r="10" ht="15" customHeight="1" s="55">
      <c r="A10" s="65" t="inlineStr">
        <is>
          <t>WordPress + hosting</t>
        </is>
      </c>
      <c r="B10" s="65" t="inlineStr">
        <is>
          <t>Hostinger account/site transfer; AnswerPress re-connection</t>
        </is>
      </c>
      <c r="C10" s="65" t="inlineStr">
        <is>
          <t>Hosting</t>
        </is>
      </c>
      <c r="D10" s="67" t="inlineStr">
        <is>
          <t>Not started</t>
        </is>
      </c>
    </row>
    <row r="11" ht="15" customHeight="1" s="55">
      <c r="A11" s="65" t="inlineStr">
        <is>
          <t>Code</t>
        </is>
      </c>
      <c r="B11" s="65" t="inlineStr">
        <is>
          <t>GitHub repo transfer (incl. CLAUDE.md)</t>
        </is>
      </c>
      <c r="C11" s="65" t="inlineStr">
        <is>
          <t>GitHub</t>
        </is>
      </c>
      <c r="D11" s="67" t="inlineStr">
        <is>
          <t>Not started</t>
        </is>
      </c>
    </row>
    <row r="12" ht="15" customHeight="1" s="55">
      <c r="A12" s="65" t="inlineStr">
        <is>
          <t>Cloud</t>
        </is>
      </c>
      <c r="B12" s="65" t="inlineStr">
        <is>
          <t>Vercel, Supabase, Railway project transfers</t>
        </is>
      </c>
      <c r="C12" s="65" t="inlineStr">
        <is>
          <t>Each platform</t>
        </is>
      </c>
      <c r="D12" s="67" t="inlineStr">
        <is>
          <t>Not started</t>
        </is>
      </c>
    </row>
    <row r="13" ht="15" customHeight="1" s="55">
      <c r="A13" s="65" t="inlineStr">
        <is>
          <t>Mobile</t>
        </is>
      </c>
      <c r="B13" s="65" t="inlineStr">
        <is>
          <t>Expo/EAS project + Android keystore; Play app transfer; TestFlight build</t>
        </is>
      </c>
      <c r="C13" s="65" t="inlineStr">
        <is>
          <t>Expo / Play</t>
        </is>
      </c>
      <c r="D13" s="67" t="inlineStr">
        <is>
          <t>Not started</t>
        </is>
      </c>
    </row>
    <row r="14" ht="15" customHeight="1" s="55">
      <c r="A14" s="65" t="inlineStr">
        <is>
          <t>Telegram</t>
        </is>
      </c>
      <c r="B14" s="65" t="inlineStr">
        <is>
          <t>BotFather &gt; Transfer Ownership (2FA on 7+ days); channel/group ownership</t>
        </is>
      </c>
      <c r="C14" s="65" t="inlineStr">
        <is>
          <t>Telegram</t>
        </is>
      </c>
      <c r="D14" s="67" t="inlineStr">
        <is>
          <t>Not started</t>
        </is>
      </c>
    </row>
    <row r="15" ht="15" customHeight="1" s="55">
      <c r="A15" s="65" t="inlineStr">
        <is>
          <t>Payments</t>
        </is>
      </c>
      <c r="B15" s="65" t="inlineStr">
        <is>
          <t>Transak (entity-bound if the LLC is sold; new KYB if assets only); CDP paymaster</t>
        </is>
      </c>
      <c r="C15" s="65" t="inlineStr">
        <is>
          <t>Vendors</t>
        </is>
      </c>
      <c r="D15" s="67" t="inlineStr">
        <is>
          <t>Not started</t>
        </is>
      </c>
    </row>
    <row r="16" ht="15" customHeight="1" s="55">
      <c r="A16" s="65" t="inlineStr">
        <is>
          <t>Email + scheduling</t>
        </is>
      </c>
      <c r="B16" s="65" t="inlineStr">
        <is>
          <t>Proton custom-domain mailbox; Calendly</t>
        </is>
      </c>
      <c r="C16" s="65" t="inlineStr">
        <is>
          <t>Vendors</t>
        </is>
      </c>
      <c r="D16" s="67" t="inlineStr">
        <is>
          <t>Not started</t>
        </is>
      </c>
    </row>
    <row r="17" ht="23.85" customHeight="1" s="55">
      <c r="A17" s="65" t="inlineStr">
        <is>
          <t>Socials</t>
        </is>
      </c>
      <c r="B17" s="65" t="inlineStr">
        <is>
          <t>LLC sale: accounts stay with the company. Asset sale: brand channels subject to each platform's rules - never priced as assets</t>
        </is>
      </c>
      <c r="C17" s="65" t="inlineStr">
        <is>
          <t>Platforms</t>
        </is>
      </c>
      <c r="D17" s="67" t="inlineStr">
        <is>
          <t>Not started</t>
        </is>
      </c>
    </row>
    <row r="18" ht="15" customHeight="1" s="55">
      <c r="A18" s="65" t="inlineStr">
        <is>
          <t>Secrets</t>
        </is>
      </c>
      <c r="B18" s="65" t="inlineStr">
        <is>
          <t>Rotate every key and password after handover; buyer confirms</t>
        </is>
      </c>
      <c r="C18" s="65" t="inlineStr">
        <is>
          <t>All</t>
        </is>
      </c>
      <c r="D18" s="67" t="inlineStr">
        <is>
          <t>Not started</t>
        </is>
      </c>
    </row>
    <row r="19" ht="15" customHeight="1" s="55">
      <c r="A19" s="65" t="inlineStr">
        <is>
          <t>Exclude</t>
        </is>
      </c>
      <c r="B19" s="65" t="inlineStr">
        <is>
          <t>Unsolicited airdrop tokens in the Bank wallet - never list, never interact</t>
        </is>
      </c>
      <c r="C19" s="65" t="inlineStr">
        <is>
          <t>-</t>
        </is>
      </c>
      <c r="D19" s="67" t="inlineStr">
        <is>
          <t>Not started</t>
        </is>
      </c>
    </row>
    <row r="21" ht="30" customHeight="1" s="55">
      <c r="A21" s="87" t="inlineStr">
        <is>
          <t>Wallet rule: move assets and roles onchain to wallets the buyer creates. Never hand over private keys or seed phrases — a buyer can never prove a handed-over key wasn't copied, and prices that risk in.</t>
        </is>
      </c>
    </row>
  </sheetData>
  <mergeCells count="1">
    <mergeCell ref="A21:D21"/>
  </mergeCells>
  <dataValidations count="1">
    <dataValidation sqref="D2:D19" showDropDown="0" showInputMessage="0" showErrorMessage="0" allowBlank="1" type="list" errorStyle="stop" operator="between">
      <formula1>"Not started,In progress,Done,Blocked,Skipped"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54" min="1" max="1"/>
    <col width="12" customWidth="1" style="54" min="2" max="2"/>
    <col width="60" customWidth="1" style="54" min="3" max="3"/>
    <col width="45" customWidth="1" style="54" min="4" max="4"/>
  </cols>
  <sheetData>
    <row r="1" ht="15" customHeight="1" s="55">
      <c r="A1" s="58" t="inlineStr">
        <is>
          <t>Predictive fit model — agency 'yes' likelihood (Sept 19, unchanged)</t>
        </is>
      </c>
    </row>
    <row r="2" ht="30" customHeight="1" s="55">
      <c r="A2" s="57" t="inlineStr">
        <is>
          <t>Score = weighted average of five 0-5 components, scaled to 100. P(meeting) comes from the band table. Both are starting assumptions (blue) — overwrite with your own reply data.</t>
        </is>
      </c>
    </row>
    <row r="4" ht="15" customHeight="1" s="55">
      <c r="A4" s="64" t="inlineStr">
        <is>
          <t>Component</t>
        </is>
      </c>
      <c r="B4" s="64" t="inlineStr">
        <is>
          <t>Weight</t>
        </is>
      </c>
      <c r="C4" s="64" t="inlineStr">
        <is>
          <t>What 5 means</t>
        </is>
      </c>
      <c r="D4" s="64" t="inlineStr">
        <is>
          <t>What 0 means</t>
        </is>
      </c>
    </row>
    <row r="5" ht="15" customHeight="1" s="55">
      <c r="A5" s="65" t="inlineStr">
        <is>
          <t>Scale (roster size / reach)</t>
        </is>
      </c>
      <c r="B5" s="88" t="n">
        <v>0.25</v>
      </c>
      <c r="C5" s="65" t="inlineStr">
        <is>
          <t>100+ creators or 400+ (Creators Inc); one yes = many weekly entrants</t>
        </is>
      </c>
      <c r="D5" s="65" t="inlineStr">
        <is>
          <t>Solo operator / a handful of creators</t>
        </is>
      </c>
    </row>
    <row r="6" ht="15" customHeight="1" s="55">
      <c r="A6" s="65" t="inlineStr">
        <is>
          <t>Reachability of decision-maker</t>
        </is>
      </c>
      <c r="B6" s="88" t="n">
        <v>0.25</v>
      </c>
      <c r="C6" s="65" t="inlineStr">
        <is>
          <t>Named founder + published business email/Telegram</t>
        </is>
      </c>
      <c r="D6" s="65" t="inlineStr">
        <is>
          <t>Anonymous team, intake form only</t>
        </is>
      </c>
    </row>
    <row r="7" ht="15" customHeight="1" s="55">
      <c r="A7" s="65" t="inlineStr">
        <is>
          <t>Openness (crypto / off-platform promo / performance marketing)</t>
        </is>
      </c>
      <c r="B7" s="88" t="n">
        <v>0.2</v>
      </c>
      <c r="C7" s="65" t="inlineStr">
        <is>
          <t>Multi-platform, Telegram-native, Dubai/EU, runs traffic ops</t>
        </is>
      </c>
      <c r="D7" s="65" t="inlineStr">
        <is>
          <t>OnlyFans-only, discreet/no-face roster, no social promo</t>
        </is>
      </c>
    </row>
    <row r="8" ht="15" customHeight="1" s="55">
      <c r="A8" s="65" t="inlineStr">
        <is>
          <t>Reputation safety (inverse risk)</t>
        </is>
      </c>
      <c r="B8" s="88" t="n">
        <v>0.15</v>
      </c>
      <c r="C8" s="65" t="inlineStr">
        <is>
          <t>Clean press, registered company, transparent splits</t>
        </is>
      </c>
      <c r="D8" s="65" t="inlineStr">
        <is>
          <t>Active litigation / creator-exploitation coverage</t>
        </is>
      </c>
    </row>
    <row r="9" ht="15" customHeight="1" s="55">
      <c r="A9" s="65" t="inlineStr">
        <is>
          <t>Meet-in-person access</t>
        </is>
      </c>
      <c r="B9" s="88" t="n">
        <v>0.15</v>
      </c>
      <c r="C9" s="65" t="inlineStr">
        <is>
          <t>Hosts or attends XBIZ/AVN/Swim Week/own events</t>
        </is>
      </c>
      <c r="D9" s="65" t="inlineStr">
        <is>
          <t>No public events</t>
        </is>
      </c>
    </row>
    <row r="10" ht="15" customHeight="1" s="55">
      <c r="A10" s="80" t="inlineStr">
        <is>
          <t>Weight check (must be 100%)</t>
        </is>
      </c>
      <c r="B10" s="89">
        <f>SUM(B5:B9)</f>
        <v/>
      </c>
    </row>
    <row r="12" ht="15" customHeight="1" s="55">
      <c r="A12" s="80" t="inlineStr">
        <is>
          <t>P(meeting) bands — probability an agency books a call after the full sequence</t>
        </is>
      </c>
    </row>
    <row r="13" ht="15" customHeight="1" s="55">
      <c r="A13" s="64" t="inlineStr">
        <is>
          <t>Score floor</t>
        </is>
      </c>
      <c r="B13" s="64" t="inlineStr">
        <is>
          <t>P(meeting)</t>
        </is>
      </c>
      <c r="C13" s="64" t="inlineStr">
        <is>
          <t>Rationale</t>
        </is>
      </c>
    </row>
    <row r="14" ht="23.85" customHeight="1" s="55">
      <c r="A14" s="67" t="n">
        <v>0</v>
      </c>
      <c r="B14" s="88" t="n">
        <v>0.04</v>
      </c>
      <c r="C14" s="65" t="inlineStr">
        <is>
          <t>Cold, hard-to-reach, low fit: email-only cold B2B response rates typically sit in low single digits</t>
        </is>
      </c>
    </row>
    <row r="15" ht="15" customHeight="1" s="55">
      <c r="A15" s="67" t="n">
        <v>50</v>
      </c>
      <c r="B15" s="88" t="n">
        <v>0.09</v>
      </c>
      <c r="C15" s="65" t="inlineStr">
        <is>
          <t>Average fit with multi-channel follow-up (email + DM + phone)</t>
        </is>
      </c>
    </row>
    <row r="16" ht="15" customHeight="1" s="55">
      <c r="A16" s="67" t="n">
        <v>65</v>
      </c>
      <c r="B16" s="88" t="n">
        <v>0.15</v>
      </c>
      <c r="C16" s="65" t="inlineStr">
        <is>
          <t>Good fit, reachable decision-maker</t>
        </is>
      </c>
    </row>
    <row r="17" ht="15" customHeight="1" s="55">
      <c r="A17" s="67" t="n">
        <v>80</v>
      </c>
      <c r="B17" s="88" t="n">
        <v>0.25</v>
      </c>
      <c r="C17" s="65" t="inlineStr">
        <is>
          <t>Tier-1 fit + published direct channel or warm intro</t>
        </is>
      </c>
    </row>
    <row r="19" ht="15" customHeight="1" s="55">
      <c r="A19" s="80" t="inlineStr">
        <is>
          <t>Channel multipliers (assumptions — calibrate)</t>
        </is>
      </c>
    </row>
    <row r="20" ht="15" customHeight="1" s="55">
      <c r="A20" s="64" t="inlineStr">
        <is>
          <t>Touch / condition</t>
        </is>
      </c>
      <c r="B20" s="64" t="inlineStr">
        <is>
          <t>Multiplier</t>
        </is>
      </c>
      <c r="C20" s="64" t="inlineStr">
        <is>
          <t>Note</t>
        </is>
      </c>
    </row>
    <row r="21" ht="23.85" customHeight="1" s="55">
      <c r="A21" s="65" t="inlineStr">
        <is>
          <t>Warm intro (Rare X Network, Supercreator, a creator already on the board)</t>
        </is>
      </c>
      <c r="B21" s="90" t="n">
        <v>2</v>
      </c>
      <c r="C21" s="65" t="inlineStr">
        <is>
          <t>Referral beats cold in every outbound benchmark</t>
        </is>
      </c>
    </row>
    <row r="22" ht="15" customHeight="1" s="55">
      <c r="A22" s="65" t="inlineStr">
        <is>
          <t>Phone follow-up reached a human</t>
        </is>
      </c>
      <c r="B22" s="90" t="n">
        <v>1.5</v>
      </c>
      <c r="C22" s="65" t="inlineStr">
        <is>
          <t>Live conversation vs inbox</t>
        </is>
      </c>
    </row>
    <row r="23" ht="15" customHeight="1" s="55">
      <c r="A23" s="65" t="inlineStr">
        <is>
          <t>Met in person at an event</t>
        </is>
      </c>
      <c r="B23" s="90" t="n">
        <v>3</v>
      </c>
      <c r="C23" s="65" t="inlineStr">
        <is>
          <t>XBIZ/AVN/Swim Week hallway meeting</t>
        </is>
      </c>
    </row>
    <row r="24" ht="15" customHeight="1" s="55">
      <c r="A24" s="65" t="inlineStr">
        <is>
          <t>Email only, no other channel</t>
        </is>
      </c>
      <c r="B24" s="90" t="n">
        <v>0.6</v>
      </c>
      <c r="C24" s="65" t="inlineStr">
        <is>
          <t>Discount the band value if you skip DM + phone</t>
        </is>
      </c>
    </row>
  </sheetData>
  <mergeCells count="1"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D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54" min="1" max="1"/>
    <col width="26" customWidth="1" style="54" min="2" max="2"/>
    <col width="30" customWidth="1" style="54" min="3" max="3"/>
    <col width="12" customWidth="1" style="54" min="4" max="4"/>
    <col width="24" customWidth="1" style="54" min="5" max="5"/>
    <col width="9" customWidth="1" style="54" min="6" max="6"/>
    <col width="26" customWidth="1" style="54" min="7" max="7"/>
    <col width="18" customWidth="1" style="54" min="8" max="8"/>
    <col width="28" customWidth="1" style="54" min="9" max="9"/>
    <col width="32" customWidth="1" style="54" min="10" max="10"/>
    <col width="22" customWidth="1" style="54" min="11" max="11"/>
    <col width="30" customWidth="1" style="54" min="12" max="12"/>
    <col width="16" customWidth="1" style="54" min="13" max="13"/>
    <col width="32" customWidth="1" style="54" min="14" max="14"/>
    <col width="44" customWidth="1" style="54" min="15" max="15"/>
    <col width="40" customWidth="1" style="54" min="16" max="17"/>
    <col width="6" customWidth="1" style="54" min="18" max="18"/>
    <col width="7" customWidth="1" style="54" min="19" max="20"/>
    <col width="8" customWidth="1" style="54" min="21" max="24"/>
    <col width="9" customWidth="1" style="54" min="25" max="25"/>
    <col width="12" customWidth="1" style="54" min="26" max="26"/>
    <col width="14" customWidth="1" style="54" min="27" max="27"/>
    <col width="10" customWidth="1" style="54" min="28" max="28"/>
    <col width="50" customWidth="1" style="54" min="29" max="29"/>
    <col width="32" customWidth="1" style="54" min="30" max="30"/>
  </cols>
  <sheetData>
    <row r="1" ht="46.25" customHeight="1" s="55">
      <c r="A1" s="64" t="inlineStr">
        <is>
          <t>#</t>
        </is>
      </c>
      <c r="B1" s="64" t="inlineStr">
        <is>
          <t>Agency</t>
        </is>
      </c>
      <c r="C1" s="64" t="inlineStr">
        <is>
          <t>HQ / cities</t>
        </is>
      </c>
      <c r="D1" s="64" t="inlineStr">
        <is>
          <t>Country</t>
        </is>
      </c>
      <c r="E1" s="64" t="inlineStr">
        <is>
          <t>Time zone</t>
        </is>
      </c>
      <c r="F1" s="64" t="inlineStr">
        <is>
          <t>Offset vs ET (hrs)</t>
        </is>
      </c>
      <c r="G1" s="64" t="inlineStr">
        <is>
          <t>Person in charge (public)</t>
        </is>
      </c>
      <c r="H1" s="64" t="inlineStr">
        <is>
          <t>Title</t>
        </is>
      </c>
      <c r="I1" s="64" t="inlineStr">
        <is>
          <t>Verified public email</t>
        </is>
      </c>
      <c r="J1" s="64" t="inlineStr">
        <is>
          <t>Website / apply / contact</t>
        </is>
      </c>
      <c r="K1" s="64" t="inlineStr">
        <is>
          <t>Instagram</t>
        </is>
      </c>
      <c r="L1" s="64" t="inlineStr">
        <is>
          <t>X / Telegram / other</t>
        </is>
      </c>
      <c r="M1" s="64" t="inlineStr">
        <is>
          <t>Business phone (published)</t>
        </is>
      </c>
      <c r="N1" s="64" t="inlineStr">
        <is>
          <t>Business mailing address (published)</t>
        </is>
      </c>
      <c r="O1" s="64" t="inlineStr">
        <is>
          <t>Direct-contact route</t>
        </is>
      </c>
      <c r="P1" s="64" t="inlineStr">
        <is>
          <t>Roster / scale signal (their claim unless noted)</t>
        </is>
      </c>
      <c r="Q1" s="64" t="inlineStr">
        <is>
          <t>Source URL(s)</t>
        </is>
      </c>
      <c r="R1" s="64" t="inlineStr">
        <is>
          <t>Tier</t>
        </is>
      </c>
      <c r="S1" s="64" t="inlineStr">
        <is>
          <t>Scale (0-5)</t>
        </is>
      </c>
      <c r="T1" s="64" t="inlineStr">
        <is>
          <t>Reach (0-5)</t>
        </is>
      </c>
      <c r="U1" s="64" t="inlineStr">
        <is>
          <t>Openness (0-5)</t>
        </is>
      </c>
      <c r="V1" s="64" t="inlineStr">
        <is>
          <t>Rep safety (0-5)</t>
        </is>
      </c>
      <c r="W1" s="64" t="inlineStr">
        <is>
          <t>Meet access (0-5)</t>
        </is>
      </c>
      <c r="X1" s="64" t="inlineStr">
        <is>
          <t>Fit score</t>
        </is>
      </c>
      <c r="Y1" s="64" t="inlineStr">
        <is>
          <t>P(meeting)</t>
        </is>
      </c>
      <c r="Z1" s="64" t="inlineStr">
        <is>
          <t>Send 09:05 local = ET time</t>
        </is>
      </c>
      <c r="AA1" s="64" t="inlineStr">
        <is>
          <t>ET day</t>
        </is>
      </c>
      <c r="AB1" s="64" t="inlineStr">
        <is>
          <t>In Aug cohort-1? (Y/N)</t>
        </is>
      </c>
      <c r="AC1" s="64" t="inlineStr">
        <is>
          <t>Notes / risks / angle</t>
        </is>
      </c>
      <c r="AD1" s="64" t="inlineStr">
        <is>
          <t>Sale-track role (Sept 24)</t>
        </is>
      </c>
    </row>
    <row r="2" ht="46.25" customHeight="1" s="55">
      <c r="A2" s="65" t="n">
        <v>1</v>
      </c>
      <c r="B2" s="73" t="inlineStr">
        <is>
          <t>Creators Inc</t>
        </is>
      </c>
      <c r="C2" s="65" t="inlineStr">
        <is>
          <t>Miami, FL (content house; events in Miami &amp; NYC)</t>
        </is>
      </c>
      <c r="D2" s="65" t="inlineStr">
        <is>
          <t>USA</t>
        </is>
      </c>
      <c r="E2" s="65" t="inlineStr">
        <is>
          <t>America/New_York (EDT)</t>
        </is>
      </c>
      <c r="F2" s="67" t="n">
        <v>0</v>
      </c>
      <c r="G2" s="65" t="inlineStr">
        <is>
          <t>Andrew (Andy) Bachman</t>
        </is>
      </c>
      <c r="H2" s="65" t="inlineStr">
        <is>
          <t>Founder &amp; CEO</t>
        </is>
      </c>
      <c r="I2" s="74" t="inlineStr">
        <is>
          <t>not published</t>
        </is>
      </c>
      <c r="J2" s="65" t="inlineStr">
        <is>
          <t>creatorsinc.com/contact (form) · creatorsinc.com/apply</t>
        </is>
      </c>
      <c r="K2" s="65" t="inlineStr">
        <is>
          <t>@creatorsinc</t>
        </is>
      </c>
      <c r="L2" s="65" t="inlineStr">
        <is>
          <t>YouTube @creatorsinc · weekly podcast hosted by Bachman</t>
        </is>
      </c>
      <c r="M2" s="74" t="inlineStr">
        <is>
          <t>not published</t>
        </is>
      </c>
      <c r="N2" s="65" t="inlineStr">
        <is>
          <t>Not on site — pull principal address via FL Sunbiz</t>
        </is>
      </c>
      <c r="O2" s="65" t="inlineStr">
        <is>
          <t>Founder is highly public (Entrepreneur, Inc., LA Weekly profiles; weekly podcast). Best route: pitch Bachman a podcast-guest/partnership angle via IG DM + LinkedIn; use Sunbiz address for direct mail.</t>
        </is>
      </c>
      <c r="P2" s="65" t="inlineStr">
        <is>
          <t>~700 employees, 400+ creators (Supercreator listing); $2B+ creator sales claim on site</t>
        </is>
      </c>
      <c r="Q2" s="65" t="inlineStr">
        <is>
          <t>https://www.creatorsinc.com/ · https://www.supercreator.app/agencies</t>
        </is>
      </c>
      <c r="R2" s="75" t="n">
        <v>1</v>
      </c>
      <c r="S2" s="67" t="n">
        <v>5</v>
      </c>
      <c r="T2" s="67" t="n">
        <v>3</v>
      </c>
      <c r="U2" s="67" t="n">
        <v>3</v>
      </c>
      <c r="V2" s="67" t="n">
        <v>4</v>
      </c>
      <c r="W2" s="67" t="n">
        <v>5</v>
      </c>
      <c r="X2" s="65">
        <f>ROUND((S2*'Scoring Model'!$B$5+T2*'Scoring Model'!$B$6+U2*'Scoring Model'!$B$7+V2*'Scoring Model'!$B$8+W2*'Scoring Model'!$B$9)/5*100,0)</f>
        <v/>
      </c>
      <c r="Y2" s="91">
        <f>INDEX('Scoring Model'!$B$14:$B$17,MATCH(X2,'Scoring Model'!$A$14:$A$17,1))</f>
        <v/>
      </c>
      <c r="Z2" s="92">
        <f>MOD(TIME(9,5,0)-F2/24,1)</f>
        <v/>
      </c>
      <c r="AA2" s="65">
        <f>IF(TIME(9,5,0)-F2/24&lt;0,"previous day (ET)","same day")</f>
        <v/>
      </c>
      <c r="AB2" s="74" t="n"/>
      <c r="AC2" s="65" t="inlineStr">
        <is>
          <t>Largest roster found. Also the most natural strategic acquirer for TTS. Runs CI Swimwear show at Miami Swim Week = in-person window (late May/early June).</t>
        </is>
      </c>
      <c r="AD2" s="65" t="inlineStr">
        <is>
          <t>Acquirer track — see Acquirers tab</t>
        </is>
      </c>
    </row>
    <row r="3" ht="35.05" customHeight="1" s="55">
      <c r="A3" s="65" t="n">
        <v>2</v>
      </c>
      <c r="B3" s="73" t="inlineStr">
        <is>
          <t>AROA Agency</t>
        </is>
      </c>
      <c r="C3" s="65" t="inlineStr">
        <is>
          <t>Miami, FL (HQ) · UK/ES/RO/UA/PT-BR sites</t>
        </is>
      </c>
      <c r="D3" s="65" t="inlineStr">
        <is>
          <t>USA / UK</t>
        </is>
      </c>
      <c r="E3" s="65" t="inlineStr">
        <is>
          <t>America/New_York (EDT)</t>
        </is>
      </c>
      <c r="F3" s="67" t="n">
        <v>0</v>
      </c>
      <c r="G3" s="74" t="inlineStr">
        <is>
          <t>not published</t>
        </is>
      </c>
      <c r="H3" s="65" t="inlineStr">
        <is>
          <t>—</t>
        </is>
      </c>
      <c r="I3" s="65" t="inlineStr">
        <is>
          <t>office@aroaagency.com (verified on site footer, Sept 2026)</t>
        </is>
      </c>
      <c r="J3" s="65" t="inlineStr">
        <is>
          <t>aroaagency.com/uk/contact (form)</t>
        </is>
      </c>
      <c r="K3" s="74" t="inlineStr">
        <is>
          <t>not published</t>
        </is>
      </c>
      <c r="L3" s="65" t="inlineStr">
        <is>
          <t>Telegram t.me/aroaagency1 · YouTube @aroa_agency</t>
        </is>
      </c>
      <c r="M3" s="74" t="inlineStr">
        <is>
          <t>not published</t>
        </is>
      </c>
      <c r="N3" s="65" t="inlineStr">
        <is>
          <t>8101 Biscayne Blvd, Ph 703-24, Miami, FL 33138 (site footer)</t>
        </is>
      </c>
      <c r="O3" s="65" t="inlineStr">
        <is>
          <t>Email + Telegram published. Ask office@ for the founder/partnerships lead by name. Attends XBIZ/AVN (logos on site) = meet in person.</t>
        </is>
      </c>
      <c r="P3" s="65" t="inlineStr">
        <is>
          <t>30+ 'elite' creators, 150+ global team, 10+ yrs in adult industry; has a 'Refer Creators' program</t>
        </is>
      </c>
      <c r="Q3" s="65" t="inlineStr">
        <is>
          <t>https://aroaagency.com/uk</t>
        </is>
      </c>
      <c r="R3" s="75" t="n">
        <v>1</v>
      </c>
      <c r="S3" s="67" t="n">
        <v>3</v>
      </c>
      <c r="T3" s="67" t="n">
        <v>5</v>
      </c>
      <c r="U3" s="67" t="n">
        <v>4</v>
      </c>
      <c r="V3" s="67" t="n">
        <v>4</v>
      </c>
      <c r="W3" s="67" t="n">
        <v>5</v>
      </c>
      <c r="X3" s="65">
        <f>ROUND((S3*'Scoring Model'!$B$5+T3*'Scoring Model'!$B$6+U3*'Scoring Model'!$B$7+V3*'Scoring Model'!$B$8+W3*'Scoring Model'!$B$9)/5*100,0)</f>
        <v/>
      </c>
      <c r="Y3" s="91">
        <f>INDEX('Scoring Model'!$B$14:$B$17,MATCH(X3,'Scoring Model'!$A$14:$A$17,1))</f>
        <v/>
      </c>
      <c r="Z3" s="92">
        <f>MOD(TIME(9,5,0)-F3/24,1)</f>
        <v/>
      </c>
      <c r="AA3" s="65">
        <f>IF(TIME(9,5,0)-F3/24&lt;0,"previous day (ET)","same day")</f>
        <v/>
      </c>
      <c r="AB3" s="74" t="n"/>
      <c r="AC3" s="65" t="inlineStr">
        <is>
          <t>Most reachable Tier-1. Referral culture = receptive to a weekly talent program. Multilingual (RO/UA/ES/PT) — could seed non-US creators.</t>
        </is>
      </c>
      <c r="AD3" s="65" t="inlineStr">
        <is>
          <t>Acquirer track — see Acquirers tab</t>
        </is>
      </c>
    </row>
    <row r="4" ht="23.85" customHeight="1" s="55">
      <c r="A4" s="65" t="n">
        <v>3</v>
      </c>
      <c r="B4" s="73" t="inlineStr">
        <is>
          <t>Louna's Models</t>
        </is>
      </c>
      <c r="C4" s="65" t="inlineStr">
        <is>
          <t>Los Angeles (founded 2018) · Paris · Miami · Milan</t>
        </is>
      </c>
      <c r="D4" s="65" t="inlineStr">
        <is>
          <t>USA / France</t>
        </is>
      </c>
      <c r="E4" s="65" t="inlineStr">
        <is>
          <t>America/Los_Angeles (PDT)</t>
        </is>
      </c>
      <c r="F4" s="67" t="n">
        <v>-3</v>
      </c>
      <c r="G4" s="65" t="inlineStr">
        <is>
          <t>Louna</t>
        </is>
      </c>
      <c r="H4" s="65" t="inlineStr">
        <is>
          <t>Founder (former top creator)</t>
        </is>
      </c>
      <c r="I4" s="74" t="inlineStr">
        <is>
          <t>not published</t>
        </is>
      </c>
      <c r="J4" s="74" t="inlineStr">
        <is>
          <t>Supercreator listing → agency site (verify)</t>
        </is>
      </c>
      <c r="K4" s="74" t="inlineStr">
        <is>
          <t>verify</t>
        </is>
      </c>
      <c r="L4" s="65" t="inlineStr">
        <is>
          <t>Runs the 'Exclu Awards LA' creator event</t>
        </is>
      </c>
      <c r="M4" s="74" t="inlineStr">
        <is>
          <t>not published</t>
        </is>
      </c>
      <c r="N4" s="74" t="inlineStr">
        <is>
          <t>not published</t>
        </is>
      </c>
      <c r="O4" s="65" t="inlineStr">
        <is>
          <t>Founder is the public face; approach via IG DM to Louna + event sponsorship/partnership ask.</t>
        </is>
      </c>
      <c r="P4" s="65" t="inlineStr">
        <is>
          <t>'Exclusive network of international talents'; female-only agency</t>
        </is>
      </c>
      <c r="Q4" s="65" t="inlineStr">
        <is>
          <t>https://www.supercreator.app/agencies</t>
        </is>
      </c>
      <c r="R4" s="75" t="n">
        <v>1</v>
      </c>
      <c r="S4" s="67" t="n">
        <v>3</v>
      </c>
      <c r="T4" s="67" t="n">
        <v>4</v>
      </c>
      <c r="U4" s="67" t="n">
        <v>4</v>
      </c>
      <c r="V4" s="67" t="n">
        <v>4</v>
      </c>
      <c r="W4" s="67" t="n">
        <v>5</v>
      </c>
      <c r="X4" s="65">
        <f>ROUND((S4*'Scoring Model'!$B$5+T4*'Scoring Model'!$B$6+U4*'Scoring Model'!$B$7+V4*'Scoring Model'!$B$8+W4*'Scoring Model'!$B$9)/5*100,0)</f>
        <v/>
      </c>
      <c r="Y4" s="91">
        <f>INDEX('Scoring Model'!$B$14:$B$17,MATCH(X4,'Scoring Model'!$A$14:$A$17,1))</f>
        <v/>
      </c>
      <c r="Z4" s="92">
        <f>MOD(TIME(9,5,0)-F4/24,1)</f>
        <v/>
      </c>
      <c r="AA4" s="65">
        <f>IF(TIME(9,5,0)-F4/24&lt;0,"previous day (ET)","same day")</f>
        <v/>
      </c>
      <c r="AB4" s="74" t="n"/>
      <c r="AC4" s="65" t="inlineStr">
        <is>
          <t>Event owner = pitch a TTS award category / live vote at Exclu Awards. Four cities = multi-timezone roster.</t>
        </is>
      </c>
      <c r="AD4" s="65" t="inlineStr">
        <is>
          <t>Acquirer track — see Acquirers tab</t>
        </is>
      </c>
    </row>
    <row r="5" ht="35.05" customHeight="1" s="55">
      <c r="A5" s="65" t="n">
        <v>4</v>
      </c>
      <c r="B5" s="73" t="inlineStr">
        <is>
          <t>SheX Agency</t>
        </is>
      </c>
      <c r="C5" s="65" t="inlineStr">
        <is>
          <t>Germany (DACH)</t>
        </is>
      </c>
      <c r="D5" s="65" t="inlineStr">
        <is>
          <t>Germany</t>
        </is>
      </c>
      <c r="E5" s="65" t="inlineStr">
        <is>
          <t>Europe/Berlin (CEST)</t>
        </is>
      </c>
      <c r="F5" s="67" t="n">
        <v>6</v>
      </c>
      <c r="G5" s="74" t="inlineStr">
        <is>
          <t>Named in Impressum (verify at she-x.de/impressum)</t>
        </is>
      </c>
      <c r="H5" s="65" t="inlineStr">
        <is>
          <t>Geschäftsführer (per Impressum)</t>
        </is>
      </c>
      <c r="I5" s="74" t="inlineStr">
        <is>
          <t>in Impressum (verify)</t>
        </is>
      </c>
      <c r="J5" s="65" t="inlineStr">
        <is>
          <t>she-x.de</t>
        </is>
      </c>
      <c r="K5" s="65" t="inlineStr">
        <is>
          <t>@onlyfans_agentur (13K)</t>
        </is>
      </c>
      <c r="L5" s="65" t="inlineStr">
        <is>
          <t>Trustpilot 4.8 (132 reviews)</t>
        </is>
      </c>
      <c r="M5" s="74" t="inlineStr">
        <is>
          <t>in Impressum (verify)</t>
        </is>
      </c>
      <c r="N5" s="74" t="inlineStr">
        <is>
          <t>in Impressum (verify)</t>
        </is>
      </c>
      <c r="O5" s="65" t="inlineStr">
        <is>
          <t>German law requires a named responsible person + email + address on the Impressum page — the cleanest direct contact in the whole list.</t>
        </is>
      </c>
      <c r="P5" s="65" t="inlineStr">
        <is>
          <t>Claims 450+ staff and 'largest' management for OnlyFans, 4based, BestFans, Fancentro, Maloum (Trustpilot company blurb)</t>
        </is>
      </c>
      <c r="Q5" s="65" t="inlineStr">
        <is>
          <t>https://ca.trustpilot.com/review/she-x.de · https://www.instagram.com/onlyfans_agentur/</t>
        </is>
      </c>
      <c r="R5" s="75" t="n">
        <v>1</v>
      </c>
      <c r="S5" s="67" t="n">
        <v>5</v>
      </c>
      <c r="T5" s="67" t="n">
        <v>4</v>
      </c>
      <c r="U5" s="67" t="n">
        <v>4</v>
      </c>
      <c r="V5" s="67" t="n">
        <v>4</v>
      </c>
      <c r="W5" s="67" t="n">
        <v>2</v>
      </c>
      <c r="X5" s="65">
        <f>ROUND((S5*'Scoring Model'!$B$5+T5*'Scoring Model'!$B$6+U5*'Scoring Model'!$B$7+V5*'Scoring Model'!$B$8+W5*'Scoring Model'!$B$9)/5*100,0)</f>
        <v/>
      </c>
      <c r="Y5" s="91">
        <f>INDEX('Scoring Model'!$B$14:$B$17,MATCH(X5,'Scoring Model'!$A$14:$A$17,1))</f>
        <v/>
      </c>
      <c r="Z5" s="92">
        <f>MOD(TIME(9,5,0)-F5/24,1)</f>
        <v/>
      </c>
      <c r="AA5" s="65">
        <f>IF(TIME(9,5,0)-F5/24&lt;0,"previous day (ET)","same day")</f>
        <v/>
      </c>
      <c r="AB5" s="74" t="n"/>
      <c r="AC5" s="65" t="inlineStr">
        <is>
          <t>Multi-platform (not OF-only) → less TOS-sensitive to off-platform promo. Big DACH roster. Write in English; offer German landing copy.</t>
        </is>
      </c>
      <c r="AD5" s="65" t="inlineStr">
        <is>
          <t>Acquirer track — see Acquirers tab</t>
        </is>
      </c>
    </row>
    <row r="6" ht="46.25" customHeight="1" s="55">
      <c r="A6" s="65" t="n">
        <v>5</v>
      </c>
      <c r="B6" s="73" t="inlineStr">
        <is>
          <t>Rare X Network / Rare Agency</t>
        </is>
      </c>
      <c r="C6" s="65" t="inlineStr">
        <is>
          <t>USA (verify city)</t>
        </is>
      </c>
      <c r="D6" s="65" t="inlineStr">
        <is>
          <t>USA</t>
        </is>
      </c>
      <c r="E6" s="65" t="inlineStr">
        <is>
          <t>America/New_York (verify)</t>
        </is>
      </c>
      <c r="F6" s="67" t="n">
        <v>0</v>
      </c>
      <c r="G6" s="74" t="inlineStr">
        <is>
          <t>not published</t>
        </is>
      </c>
      <c r="H6" s="65" t="inlineStr">
        <is>
          <t>—</t>
        </is>
      </c>
      <c r="I6" s="74" t="inlineStr">
        <is>
          <t>not published</t>
        </is>
      </c>
      <c r="J6" s="65" t="inlineStr">
        <is>
          <t>rareagency.net</t>
        </is>
      </c>
      <c r="K6" s="74" t="inlineStr">
        <is>
          <t>verify</t>
        </is>
      </c>
      <c r="L6" s="65" t="inlineStr">
        <is>
          <t>—</t>
        </is>
      </c>
      <c r="M6" s="74" t="inlineStr">
        <is>
          <t>not published</t>
        </is>
      </c>
      <c r="N6" s="74" t="inlineStr">
        <is>
          <t>not published</t>
        </is>
      </c>
      <c r="O6" s="65" t="inlineStr">
        <is>
          <t>Matching network that places creators with many agencies — one partnership = multi-agency reach. Approach as co-marketing partner, not as a single agency.</t>
        </is>
      </c>
      <c r="P6" s="65" t="inlineStr">
        <is>
          <t>Network of partner agencies; free matching for creators (CreditDonkey review)</t>
        </is>
      </c>
      <c r="Q6" s="65" t="inlineStr">
        <is>
          <t>https://www.rareagency.net/ · https://www.creditdonkey.com/best-onlyfans-agency.html</t>
        </is>
      </c>
      <c r="R6" s="75" t="n">
        <v>1</v>
      </c>
      <c r="S6" s="67" t="n">
        <v>3</v>
      </c>
      <c r="T6" s="67" t="n">
        <v>3</v>
      </c>
      <c r="U6" s="67" t="n">
        <v>4</v>
      </c>
      <c r="V6" s="67" t="n">
        <v>4</v>
      </c>
      <c r="W6" s="67" t="n">
        <v>2</v>
      </c>
      <c r="X6" s="65">
        <f>ROUND((S6*'Scoring Model'!$B$5+T6*'Scoring Model'!$B$6+U6*'Scoring Model'!$B$7+V6*'Scoring Model'!$B$8+W6*'Scoring Model'!$B$9)/5*100,0)</f>
        <v/>
      </c>
      <c r="Y6" s="91">
        <f>INDEX('Scoring Model'!$B$14:$B$17,MATCH(X6,'Scoring Model'!$A$14:$A$17,1))</f>
        <v/>
      </c>
      <c r="Z6" s="92">
        <f>MOD(TIME(9,5,0)-F6/24,1)</f>
        <v/>
      </c>
      <c r="AA6" s="65">
        <f>IF(TIME(9,5,0)-F6/24&lt;0,"previous day (ET)","same day")</f>
        <v/>
      </c>
      <c r="AB6" s="74" t="n"/>
      <c r="AC6" s="65" t="inlineStr">
        <is>
          <t>Channel multiplier. Offer: TTS as a perk they hand every placed creator.</t>
        </is>
      </c>
      <c r="AD6" s="65" t="inlineStr">
        <is>
          <t>Weekly enlistment — demand evidence</t>
        </is>
      </c>
    </row>
    <row r="7" ht="35.05" customHeight="1" s="55">
      <c r="A7" s="65" t="n">
        <v>6</v>
      </c>
      <c r="B7" s="73" t="inlineStr">
        <is>
          <t>Supercreator (software + agency directory)</t>
        </is>
      </c>
      <c r="C7" s="65" t="inlineStr">
        <is>
          <t>Israel (directory lists 31 countries)</t>
        </is>
      </c>
      <c r="D7" s="65" t="inlineStr">
        <is>
          <t>Israel</t>
        </is>
      </c>
      <c r="E7" s="65" t="inlineStr">
        <is>
          <t>Asia/Jerusalem</t>
        </is>
      </c>
      <c r="F7" s="67" t="n">
        <v>7</v>
      </c>
      <c r="G7" s="74" t="inlineStr">
        <is>
          <t>not published</t>
        </is>
      </c>
      <c r="H7" s="65" t="inlineStr">
        <is>
          <t>Partnerships / community</t>
        </is>
      </c>
      <c r="I7" s="74" t="inlineStr">
        <is>
          <t>not published</t>
        </is>
      </c>
      <c r="J7" s="65" t="inlineStr">
        <is>
          <t>supercreator.app/agencies · consultation Calendly on site</t>
        </is>
      </c>
      <c r="K7" s="65" t="inlineStr">
        <is>
          <t>—</t>
        </is>
      </c>
      <c r="L7" s="65" t="inlineStr">
        <is>
          <t>Telegram t.me/supercreator_app · X @Supercreatorapp · podcast on Spotify</t>
        </is>
      </c>
      <c r="M7" s="74" t="inlineStr">
        <is>
          <t>not published</t>
        </is>
      </c>
      <c r="N7" s="74" t="inlineStr">
        <is>
          <t>not published</t>
        </is>
      </c>
      <c r="O7" s="65" t="inlineStr">
        <is>
          <t>Not an agency — the tool 25,000 creators/agencies use. Pitch: partner listing, podcast slot, co-marketing to their agency base.</t>
        </is>
      </c>
      <c r="P7" s="65" t="inlineStr">
        <is>
          <t>25,000 customers claim; directory of verified agencies</t>
        </is>
      </c>
      <c r="Q7" s="65" t="inlineStr">
        <is>
          <t>https://www.supercreator.app/agencies</t>
        </is>
      </c>
      <c r="R7" s="75" t="n">
        <v>1</v>
      </c>
      <c r="S7" s="67" t="n">
        <v>5</v>
      </c>
      <c r="T7" s="67" t="n">
        <v>4</v>
      </c>
      <c r="U7" s="67" t="n">
        <v>4</v>
      </c>
      <c r="V7" s="67" t="n">
        <v>4</v>
      </c>
      <c r="W7" s="67" t="n">
        <v>2</v>
      </c>
      <c r="X7" s="65">
        <f>ROUND((S7*'Scoring Model'!$B$5+T7*'Scoring Model'!$B$6+U7*'Scoring Model'!$B$7+V7*'Scoring Model'!$B$8+W7*'Scoring Model'!$B$9)/5*100,0)</f>
        <v/>
      </c>
      <c r="Y7" s="91">
        <f>INDEX('Scoring Model'!$B$14:$B$17,MATCH(X7,'Scoring Model'!$A$14:$A$17,1))</f>
        <v/>
      </c>
      <c r="Z7" s="92">
        <f>MOD(TIME(9,5,0)-F7/24,1)</f>
        <v/>
      </c>
      <c r="AA7" s="65">
        <f>IF(TIME(9,5,0)-F7/24&lt;0,"previous day (ET)","same day")</f>
        <v/>
      </c>
      <c r="AB7" s="74" t="n"/>
      <c r="AC7" s="65" t="inlineStr">
        <is>
          <t>Highest-leverage single relationship: their directory IS the global list.</t>
        </is>
      </c>
      <c r="AD7" s="65" t="inlineStr">
        <is>
          <t>Acquirer track — see Acquirers tab</t>
        </is>
      </c>
    </row>
    <row r="8" ht="23.85" customHeight="1" s="55">
      <c r="A8" s="65" t="n">
        <v>7</v>
      </c>
      <c r="B8" s="73" t="inlineStr">
        <is>
          <t>Lost Boys Agency</t>
        </is>
      </c>
      <c r="C8" s="65" t="inlineStr">
        <is>
          <t>verify (invite-only)</t>
        </is>
      </c>
      <c r="D8" s="65" t="inlineStr">
        <is>
          <t>verify</t>
        </is>
      </c>
      <c r="E8" s="65" t="inlineStr">
        <is>
          <t>verify</t>
        </is>
      </c>
      <c r="F8" s="67" t="n">
        <v>0</v>
      </c>
      <c r="G8" s="74" t="inlineStr">
        <is>
          <t>not published</t>
        </is>
      </c>
      <c r="H8" s="65" t="inlineStr">
        <is>
          <t>—</t>
        </is>
      </c>
      <c r="I8" s="74" t="inlineStr">
        <is>
          <t>not published</t>
        </is>
      </c>
      <c r="J8" s="65" t="inlineStr">
        <is>
          <t>Instagram only</t>
        </is>
      </c>
      <c r="K8" s="65" t="inlineStr">
        <is>
          <t>@lostboys.agency</t>
        </is>
      </c>
      <c r="L8" s="65" t="inlineStr">
        <is>
          <t>—</t>
        </is>
      </c>
      <c r="M8" s="74" t="inlineStr">
        <is>
          <t>not published</t>
        </is>
      </c>
      <c r="N8" s="74" t="inlineStr">
        <is>
          <t>not published</t>
        </is>
      </c>
      <c r="O8" s="65" t="inlineStr">
        <is>
          <t>Invite-only; IG DM or warm intro only. Do not cold email.</t>
        </is>
      </c>
      <c r="P8" s="65" t="inlineStr">
        <is>
          <t>Claims $2M+/mo net sales; one talent $55M in debut year (their own PR)</t>
        </is>
      </c>
      <c r="Q8" s="65" t="inlineStr">
        <is>
          <t>https://www.instagram.com/lostboys.agency/ · https://secretsofonlyfans.gumroad.com</t>
        </is>
      </c>
      <c r="R8" s="75" t="n">
        <v>1</v>
      </c>
      <c r="S8" s="67" t="n">
        <v>5</v>
      </c>
      <c r="T8" s="67" t="n">
        <v>1</v>
      </c>
      <c r="U8" s="67" t="n">
        <v>3</v>
      </c>
      <c r="V8" s="67" t="n">
        <v>3</v>
      </c>
      <c r="W8" s="67" t="n">
        <v>2</v>
      </c>
      <c r="X8" s="65">
        <f>ROUND((S8*'Scoring Model'!$B$5+T8*'Scoring Model'!$B$6+U8*'Scoring Model'!$B$7+V8*'Scoring Model'!$B$8+W8*'Scoring Model'!$B$9)/5*100,0)</f>
        <v/>
      </c>
      <c r="Y8" s="91">
        <f>INDEX('Scoring Model'!$B$14:$B$17,MATCH(X8,'Scoring Model'!$A$14:$A$17,1))</f>
        <v/>
      </c>
      <c r="Z8" s="92">
        <f>MOD(TIME(9,5,0)-F8/24,1)</f>
        <v/>
      </c>
      <c r="AA8" s="65">
        <f>IF(TIME(9,5,0)-F8/24&lt;0,"previous day (ET)","same day")</f>
        <v/>
      </c>
      <c r="AB8" s="74" t="n"/>
      <c r="AC8" s="65" t="inlineStr">
        <is>
          <t>Whale roster; low reachability. Worth one IG DM + one warm-intro attempt, then park.</t>
        </is>
      </c>
      <c r="AD8" s="65" t="inlineStr">
        <is>
          <t>Weekly enlistment — demand evidence</t>
        </is>
      </c>
    </row>
    <row r="9" ht="57.45" customHeight="1" s="55">
      <c r="A9" s="65" t="n">
        <v>8</v>
      </c>
      <c r="B9" s="77" t="inlineStr">
        <is>
          <t>Unruly Agency</t>
        </is>
      </c>
      <c r="C9" s="65" t="inlineStr">
        <is>
          <t>Los Angeles</t>
        </is>
      </c>
      <c r="D9" s="65" t="inlineStr">
        <is>
          <t>USA</t>
        </is>
      </c>
      <c r="E9" s="65" t="inlineStr">
        <is>
          <t>America/Los_Angeles (PDT)</t>
        </is>
      </c>
      <c r="F9" s="67" t="n">
        <v>-3</v>
      </c>
      <c r="G9" s="65" t="inlineStr">
        <is>
          <t>Tara 'Electra' Niknejad; co-founder Nicky Gathrite</t>
        </is>
      </c>
      <c r="H9" s="65" t="inlineStr">
        <is>
          <t>CEO; Co-founder</t>
        </is>
      </c>
      <c r="I9" s="74" t="inlineStr">
        <is>
          <t>not published</t>
        </is>
      </c>
      <c r="J9" s="74" t="inlineStr">
        <is>
          <t>unrulyagency.com (verify)</t>
        </is>
      </c>
      <c r="K9" s="74" t="inlineStr">
        <is>
          <t>verify</t>
        </is>
      </c>
      <c r="L9" s="65" t="inlineStr">
        <is>
          <t>—</t>
        </is>
      </c>
      <c r="M9" s="74" t="inlineStr">
        <is>
          <t>not published</t>
        </is>
      </c>
      <c r="N9" s="65" t="inlineStr">
        <is>
          <t>Not on site — CA SoS bizfile</t>
        </is>
      </c>
      <c r="O9" s="65" t="inlineStr">
        <is>
          <t>CEO is named in press; LinkedIn/IG DM. Diligence first (see notes).</t>
        </is>
      </c>
      <c r="P9" s="65" t="inlineStr">
        <is>
          <t>100+ models/influencers, 500M combined reach (2021 BusinessWire)</t>
        </is>
      </c>
      <c r="Q9" s="65" t="inlineStr">
        <is>
          <t>https://www.businesswire.com/news/home/20210914005352/en/ · https://www.rollingstone.com/culture/culture-news/onlyfans-creators-unruly-agency-nudity-lawsuit-1320185/</t>
        </is>
      </c>
      <c r="R9" s="78" t="n">
        <v>2</v>
      </c>
      <c r="S9" s="67" t="n">
        <v>4</v>
      </c>
      <c r="T9" s="67" t="n">
        <v>3</v>
      </c>
      <c r="U9" s="67" t="n">
        <v>3</v>
      </c>
      <c r="V9" s="67" t="n">
        <v>2</v>
      </c>
      <c r="W9" s="67" t="n">
        <v>3</v>
      </c>
      <c r="X9" s="65">
        <f>ROUND((S9*'Scoring Model'!$B$5+T9*'Scoring Model'!$B$6+U9*'Scoring Model'!$B$7+V9*'Scoring Model'!$B$8+W9*'Scoring Model'!$B$9)/5*100,0)</f>
        <v/>
      </c>
      <c r="Y9" s="91">
        <f>INDEX('Scoring Model'!$B$14:$B$17,MATCH(X9,'Scoring Model'!$A$14:$A$17,1))</f>
        <v/>
      </c>
      <c r="Z9" s="92">
        <f>MOD(TIME(9,5,0)-F9/24,1)</f>
        <v/>
      </c>
      <c r="AA9" s="65">
        <f>IF(TIME(9,5,0)-F9/24&lt;0,"previous day (ET)","same day")</f>
        <v/>
      </c>
      <c r="AB9" s="74" t="n"/>
      <c r="AC9" s="65" t="inlineStr">
        <is>
          <t>Multiple creator lawsuits 2021-24; 2026 press releases say all claims dismissed/dropped. Reputation check before any public co-marketing — your 'never be seen as malicious' rule.</t>
        </is>
      </c>
      <c r="AD9" s="65" t="inlineStr">
        <is>
          <t>Weekly enlistment — demand evidence</t>
        </is>
      </c>
    </row>
    <row r="10" ht="23.85" customHeight="1" s="55">
      <c r="A10" s="65" t="n">
        <v>9</v>
      </c>
      <c r="B10" s="93" t="inlineStr">
        <is>
          <t>Behave Agency</t>
        </is>
      </c>
      <c r="C10" s="65" t="inlineStr">
        <is>
          <t>Los Angeles (founded 2020)</t>
        </is>
      </c>
      <c r="D10" s="65" t="inlineStr">
        <is>
          <t>USA</t>
        </is>
      </c>
      <c r="E10" s="65" t="inlineStr">
        <is>
          <t>America/Los_Angeles (PDT)</t>
        </is>
      </c>
      <c r="F10" s="67" t="n">
        <v>-3</v>
      </c>
      <c r="G10" s="74" t="inlineStr">
        <is>
          <t>not published</t>
        </is>
      </c>
      <c r="H10" s="65" t="inlineStr">
        <is>
          <t>— (Unruly-affiliated)</t>
        </is>
      </c>
      <c r="I10" s="74" t="inlineStr">
        <is>
          <t>not published</t>
        </is>
      </c>
      <c r="J10" s="74" t="inlineStr">
        <is>
          <t>verify</t>
        </is>
      </c>
      <c r="K10" s="74" t="inlineStr">
        <is>
          <t>verify</t>
        </is>
      </c>
      <c r="L10" s="65" t="inlineStr">
        <is>
          <t>—</t>
        </is>
      </c>
      <c r="M10" s="74" t="inlineStr">
        <is>
          <t>not published</t>
        </is>
      </c>
      <c r="N10" s="74" t="inlineStr">
        <is>
          <t>not published</t>
        </is>
      </c>
      <c r="O10" s="65" t="inlineStr">
        <is>
          <t>Same diligence as Unruly; contact via Unruly leadership.</t>
        </is>
      </c>
      <c r="P10" s="65" t="inlineStr">
        <is>
          <t>Smaller-influencer arm of Unruly (Daily Beast)</t>
        </is>
      </c>
      <c r="Q10" s="65" t="inlineStr">
        <is>
          <t>https://www.cbinsights.com/company/behave-agency</t>
        </is>
      </c>
      <c r="R10" s="94" t="n">
        <v>3</v>
      </c>
      <c r="S10" s="67" t="n">
        <v>3</v>
      </c>
      <c r="T10" s="67" t="n">
        <v>2</v>
      </c>
      <c r="U10" s="67" t="n">
        <v>3</v>
      </c>
      <c r="V10" s="67" t="n">
        <v>2</v>
      </c>
      <c r="W10" s="67" t="n">
        <v>2</v>
      </c>
      <c r="X10" s="65">
        <f>ROUND((S10*'Scoring Model'!$B$5+T10*'Scoring Model'!$B$6+U10*'Scoring Model'!$B$7+V10*'Scoring Model'!$B$8+W10*'Scoring Model'!$B$9)/5*100,0)</f>
        <v/>
      </c>
      <c r="Y10" s="91">
        <f>INDEX('Scoring Model'!$B$14:$B$17,MATCH(X10,'Scoring Model'!$A$14:$A$17,1))</f>
        <v/>
      </c>
      <c r="Z10" s="92">
        <f>MOD(TIME(9,5,0)-F10/24,1)</f>
        <v/>
      </c>
      <c r="AA10" s="65">
        <f>IF(TIME(9,5,0)-F10/24&lt;0,"previous day (ET)","same day")</f>
        <v/>
      </c>
      <c r="AB10" s="74" t="n"/>
      <c r="AC10" s="65" t="inlineStr">
        <is>
          <t>Named in the same suits as Unruly.</t>
        </is>
      </c>
      <c r="AD10" s="65" t="inlineStr">
        <is>
          <t>Weekly enlistment — demand evidence</t>
        </is>
      </c>
    </row>
    <row r="11" ht="23.85" customHeight="1" s="55">
      <c r="A11" s="65" t="n">
        <v>10</v>
      </c>
      <c r="B11" s="77" t="inlineStr">
        <is>
          <t>Sakura Management</t>
        </is>
      </c>
      <c r="C11" s="65" t="inlineStr">
        <is>
          <t>Los Angeles</t>
        </is>
      </c>
      <c r="D11" s="65" t="inlineStr">
        <is>
          <t>USA</t>
        </is>
      </c>
      <c r="E11" s="65" t="inlineStr">
        <is>
          <t>America/Los_Angeles (PDT)</t>
        </is>
      </c>
      <c r="F11" s="67" t="n">
        <v>-3</v>
      </c>
      <c r="G11" s="74" t="inlineStr">
        <is>
          <t>not published</t>
        </is>
      </c>
      <c r="H11" s="65" t="inlineStr">
        <is>
          <t>—</t>
        </is>
      </c>
      <c r="I11" s="74" t="inlineStr">
        <is>
          <t>not published</t>
        </is>
      </c>
      <c r="J11" s="74" t="inlineStr">
        <is>
          <t>Supercreator listing → site (verify)</t>
        </is>
      </c>
      <c r="K11" s="74" t="inlineStr">
        <is>
          <t>verify</t>
        </is>
      </c>
      <c r="L11" s="65" t="inlineStr">
        <is>
          <t>—</t>
        </is>
      </c>
      <c r="M11" s="74" t="inlineStr">
        <is>
          <t>not published</t>
        </is>
      </c>
      <c r="N11" s="74" t="inlineStr">
        <is>
          <t>not published</t>
        </is>
      </c>
      <c r="O11" s="65" t="inlineStr">
        <is>
          <t>Ex-webcam traffic firm → performance-marketing mindset; pitch the funnel math.</t>
        </is>
      </c>
      <c r="P11" s="65" t="inlineStr">
        <is>
          <t>5+ yrs; adult + mainstream creators (Supercreator listing, verified)</t>
        </is>
      </c>
      <c r="Q11" s="65" t="inlineStr">
        <is>
          <t>https://www.supercreator.app/agencies</t>
        </is>
      </c>
      <c r="R11" s="78" t="n">
        <v>2</v>
      </c>
      <c r="S11" s="67" t="n">
        <v>3</v>
      </c>
      <c r="T11" s="67" t="n">
        <v>3</v>
      </c>
      <c r="U11" s="67" t="n">
        <v>4</v>
      </c>
      <c r="V11" s="67" t="n">
        <v>4</v>
      </c>
      <c r="W11" s="67" t="n">
        <v>3</v>
      </c>
      <c r="X11" s="65">
        <f>ROUND((S11*'Scoring Model'!$B$5+T11*'Scoring Model'!$B$6+U11*'Scoring Model'!$B$7+V11*'Scoring Model'!$B$8+W11*'Scoring Model'!$B$9)/5*100,0)</f>
        <v/>
      </c>
      <c r="Y11" s="91">
        <f>INDEX('Scoring Model'!$B$14:$B$17,MATCH(X11,'Scoring Model'!$A$14:$A$17,1))</f>
        <v/>
      </c>
      <c r="Z11" s="92">
        <f>MOD(TIME(9,5,0)-F11/24,1)</f>
        <v/>
      </c>
      <c r="AA11" s="65">
        <f>IF(TIME(9,5,0)-F11/24&lt;0,"previous day (ET)","same day")</f>
        <v/>
      </c>
      <c r="AB11" s="74" t="n"/>
      <c r="AC11" s="65" t="inlineStr">
        <is>
          <t>Traffic-ops DNA = understands CAC/LTV pitch.</t>
        </is>
      </c>
      <c r="AD11" s="65" t="inlineStr">
        <is>
          <t>Weekly enlistment — demand evidence</t>
        </is>
      </c>
    </row>
    <row r="12" ht="23.85" customHeight="1" s="55">
      <c r="A12" s="65" t="n">
        <v>11</v>
      </c>
      <c r="B12" s="77" t="inlineStr">
        <is>
          <t>Doris Agency / Doris Talent</t>
        </is>
      </c>
      <c r="C12" s="65" t="inlineStr">
        <is>
          <t>Los Angeles · Miami</t>
        </is>
      </c>
      <c r="D12" s="65" t="inlineStr">
        <is>
          <t>USA</t>
        </is>
      </c>
      <c r="E12" s="65" t="inlineStr">
        <is>
          <t>America/Los_Angeles (PDT)</t>
        </is>
      </c>
      <c r="F12" s="67" t="n">
        <v>-3</v>
      </c>
      <c r="G12" s="74" t="inlineStr">
        <is>
          <t>not published</t>
        </is>
      </c>
      <c r="H12" s="65" t="inlineStr">
        <is>
          <t>—</t>
        </is>
      </c>
      <c r="I12" s="74" t="inlineStr">
        <is>
          <t>not published</t>
        </is>
      </c>
      <c r="J12" s="74" t="inlineStr">
        <is>
          <t>Supercreator listing → site (verify)</t>
        </is>
      </c>
      <c r="K12" s="74" t="inlineStr">
        <is>
          <t>verify</t>
        </is>
      </c>
      <c r="L12" s="65" t="inlineStr">
        <is>
          <t>—</t>
        </is>
      </c>
      <c r="M12" s="74" t="inlineStr">
        <is>
          <t>not published</t>
        </is>
      </c>
      <c r="N12" s="74" t="inlineStr">
        <is>
          <t>not published</t>
        </is>
      </c>
      <c r="O12" s="65" t="inlineStr">
        <is>
          <t>Site contact + IG DM.</t>
        </is>
      </c>
      <c r="P12" s="65" t="inlineStr">
        <is>
          <t>Production company + influencer marketing (Supercreator, verified)</t>
        </is>
      </c>
      <c r="Q12" s="65" t="inlineStr">
        <is>
          <t>https://www.supercreator.app/agencies</t>
        </is>
      </c>
      <c r="R12" s="78" t="n">
        <v>2</v>
      </c>
      <c r="S12" s="67" t="n">
        <v>3</v>
      </c>
      <c r="T12" s="67" t="n">
        <v>3</v>
      </c>
      <c r="U12" s="67" t="n">
        <v>3</v>
      </c>
      <c r="V12" s="67" t="n">
        <v>4</v>
      </c>
      <c r="W12" s="67" t="n">
        <v>3</v>
      </c>
      <c r="X12" s="65">
        <f>ROUND((S12*'Scoring Model'!$B$5+T12*'Scoring Model'!$B$6+U12*'Scoring Model'!$B$7+V12*'Scoring Model'!$B$8+W12*'Scoring Model'!$B$9)/5*100,0)</f>
        <v/>
      </c>
      <c r="Y12" s="91">
        <f>INDEX('Scoring Model'!$B$14:$B$17,MATCH(X12,'Scoring Model'!$A$14:$A$17,1))</f>
        <v/>
      </c>
      <c r="Z12" s="92">
        <f>MOD(TIME(9,5,0)-F12/24,1)</f>
        <v/>
      </c>
      <c r="AA12" s="65">
        <f>IF(TIME(9,5,0)-F12/24&lt;0,"previous day (ET)","same day")</f>
        <v/>
      </c>
      <c r="AB12" s="74" t="n"/>
      <c r="AC12" s="65" t="inlineStr">
        <is>
          <t>Brand-partnership oriented — frame TTS as a sponsor-ready property.</t>
        </is>
      </c>
      <c r="AD12" s="65" t="inlineStr">
        <is>
          <t>Weekly enlistment — demand evidence</t>
        </is>
      </c>
    </row>
    <row r="13" ht="35.05" customHeight="1" s="55">
      <c r="A13" s="65" t="n">
        <v>12</v>
      </c>
      <c r="B13" s="77" t="inlineStr">
        <is>
          <t>Seiren</t>
        </is>
      </c>
      <c r="C13" s="65" t="inlineStr">
        <is>
          <t>Los Angeles</t>
        </is>
      </c>
      <c r="D13" s="65" t="inlineStr">
        <is>
          <t>USA</t>
        </is>
      </c>
      <c r="E13" s="65" t="inlineStr">
        <is>
          <t>America/Los_Angeles (PDT)</t>
        </is>
      </c>
      <c r="F13" s="67" t="n">
        <v>-3</v>
      </c>
      <c r="G13" s="74" t="inlineStr">
        <is>
          <t>not published</t>
        </is>
      </c>
      <c r="H13" s="65" t="inlineStr">
        <is>
          <t>—</t>
        </is>
      </c>
      <c r="I13" s="74" t="inlineStr">
        <is>
          <t>not published</t>
        </is>
      </c>
      <c r="J13" s="74" t="inlineStr">
        <is>
          <t>verify</t>
        </is>
      </c>
      <c r="K13" s="74" t="inlineStr">
        <is>
          <t>verify</t>
        </is>
      </c>
      <c r="L13" s="65" t="inlineStr">
        <is>
          <t>—</t>
        </is>
      </c>
      <c r="M13" s="74" t="inlineStr">
        <is>
          <t>not published</t>
        </is>
      </c>
      <c r="N13" s="74" t="inlineStr">
        <is>
          <t>not published</t>
        </is>
      </c>
      <c r="O13" s="65" t="inlineStr">
        <is>
          <t>Site form + IG.</t>
        </is>
      </c>
      <c r="P13" s="65" t="inlineStr">
        <is>
          <t>Claims 'most of the top 1% creators' (Vocal Media roundup)</t>
        </is>
      </c>
      <c r="Q13" s="65" t="inlineStr">
        <is>
          <t>https://vocal.media/journal/11-best-only-fans-agencies-to-join-best-only-fans-management-and-marketing-agencies-to-join-as-a-creator</t>
        </is>
      </c>
      <c r="R13" s="78" t="n">
        <v>2</v>
      </c>
      <c r="S13" s="67" t="n">
        <v>4</v>
      </c>
      <c r="T13" s="67" t="n">
        <v>2</v>
      </c>
      <c r="U13" s="67" t="n">
        <v>3</v>
      </c>
      <c r="V13" s="67" t="n">
        <v>4</v>
      </c>
      <c r="W13" s="67" t="n">
        <v>3</v>
      </c>
      <c r="X13" s="65">
        <f>ROUND((S13*'Scoring Model'!$B$5+T13*'Scoring Model'!$B$6+U13*'Scoring Model'!$B$7+V13*'Scoring Model'!$B$8+W13*'Scoring Model'!$B$9)/5*100,0)</f>
        <v/>
      </c>
      <c r="Y13" s="91">
        <f>INDEX('Scoring Model'!$B$14:$B$17,MATCH(X13,'Scoring Model'!$A$14:$A$17,1))</f>
        <v/>
      </c>
      <c r="Z13" s="92">
        <f>MOD(TIME(9,5,0)-F13/24,1)</f>
        <v/>
      </c>
      <c r="AA13" s="65">
        <f>IF(TIME(9,5,0)-F13/24&lt;0,"previous day (ET)","same day")</f>
        <v/>
      </c>
      <c r="AB13" s="74" t="n"/>
      <c r="AC13" s="65" t="inlineStr">
        <is>
          <t>Safety/comfort-first positioning — lead with consent agreement + no-OF-posting.</t>
        </is>
      </c>
      <c r="AD13" s="65" t="inlineStr">
        <is>
          <t>Weekly enlistment — demand evidence</t>
        </is>
      </c>
    </row>
    <row r="14" ht="23.85" customHeight="1" s="55">
      <c r="A14" s="65" t="n">
        <v>13</v>
      </c>
      <c r="B14" s="77" t="inlineStr">
        <is>
          <t>Teasy Agency</t>
        </is>
      </c>
      <c r="C14" s="65" t="inlineStr">
        <is>
          <t>USA (verify city)</t>
        </is>
      </c>
      <c r="D14" s="65" t="inlineStr">
        <is>
          <t>USA</t>
        </is>
      </c>
      <c r="E14" s="65" t="inlineStr">
        <is>
          <t>verify (assume ET)</t>
        </is>
      </c>
      <c r="F14" s="67" t="n">
        <v>0</v>
      </c>
      <c r="G14" s="65" t="inlineStr">
        <is>
          <t>Co-founded by a female creator (name not published)</t>
        </is>
      </c>
      <c r="H14" s="65" t="inlineStr">
        <is>
          <t>Co-founder</t>
        </is>
      </c>
      <c r="I14" s="74" t="inlineStr">
        <is>
          <t>not published</t>
        </is>
      </c>
      <c r="J14" s="65" t="inlineStr">
        <is>
          <t>teasyagency.com</t>
        </is>
      </c>
      <c r="K14" s="74" t="inlineStr">
        <is>
          <t>verify</t>
        </is>
      </c>
      <c r="L14" s="65" t="inlineStr">
        <is>
          <t>—</t>
        </is>
      </c>
      <c r="M14" s="74" t="inlineStr">
        <is>
          <t>not published</t>
        </is>
      </c>
      <c r="N14" s="74" t="inlineStr">
        <is>
          <t>not published</t>
        </is>
      </c>
      <c r="O14" s="65" t="inlineStr">
        <is>
          <t>Site form; ask for co-founder by role.</t>
        </is>
      </c>
      <c r="P14" s="65" t="inlineStr">
        <is>
          <t>Creator-founded; multi-tier management (site)</t>
        </is>
      </c>
      <c r="Q14" s="65" t="inlineStr">
        <is>
          <t>https://teasyagency.com/</t>
        </is>
      </c>
      <c r="R14" s="78" t="n">
        <v>2</v>
      </c>
      <c r="S14" s="67" t="n">
        <v>3</v>
      </c>
      <c r="T14" s="67" t="n">
        <v>3</v>
      </c>
      <c r="U14" s="67" t="n">
        <v>3</v>
      </c>
      <c r="V14" s="67" t="n">
        <v>4</v>
      </c>
      <c r="W14" s="67" t="n">
        <v>2</v>
      </c>
      <c r="X14" s="65">
        <f>ROUND((S14*'Scoring Model'!$B$5+T14*'Scoring Model'!$B$6+U14*'Scoring Model'!$B$7+V14*'Scoring Model'!$B$8+W14*'Scoring Model'!$B$9)/5*100,0)</f>
        <v/>
      </c>
      <c r="Y14" s="91">
        <f>INDEX('Scoring Model'!$B$14:$B$17,MATCH(X14,'Scoring Model'!$A$14:$A$17,1))</f>
        <v/>
      </c>
      <c r="Z14" s="92">
        <f>MOD(TIME(9,5,0)-F14/24,1)</f>
        <v/>
      </c>
      <c r="AA14" s="65">
        <f>IF(TIME(9,5,0)-F14/24&lt;0,"previous day (ET)","same day")</f>
        <v/>
      </c>
      <c r="AB14" s="74" t="n"/>
      <c r="AC14" s="65" t="inlineStr">
        <is>
          <t>Creator-led leadership responds to creator-benefit framing (trophies, weekly spotlight).</t>
        </is>
      </c>
      <c r="AD14" s="65" t="inlineStr">
        <is>
          <t>Weekly enlistment — demand evidence</t>
        </is>
      </c>
    </row>
    <row r="15" ht="35.05" customHeight="1" s="55">
      <c r="A15" s="65" t="n">
        <v>14</v>
      </c>
      <c r="B15" s="77" t="inlineStr">
        <is>
          <t>Think Expansion</t>
        </is>
      </c>
      <c r="C15" s="65" t="inlineStr">
        <is>
          <t>Miami, FL</t>
        </is>
      </c>
      <c r="D15" s="65" t="inlineStr">
        <is>
          <t>USA</t>
        </is>
      </c>
      <c r="E15" s="65" t="inlineStr">
        <is>
          <t>America/New_York (EDT)</t>
        </is>
      </c>
      <c r="F15" s="67" t="n">
        <v>0</v>
      </c>
      <c r="G15" s="74" t="inlineStr">
        <is>
          <t>not published</t>
        </is>
      </c>
      <c r="H15" s="65" t="inlineStr">
        <is>
          <t>—</t>
        </is>
      </c>
      <c r="I15" s="74" t="inlineStr">
        <is>
          <t>not published</t>
        </is>
      </c>
      <c r="J15" s="74" t="inlineStr">
        <is>
          <t>verify</t>
        </is>
      </c>
      <c r="K15" s="74" t="inlineStr">
        <is>
          <t>verify</t>
        </is>
      </c>
      <c r="L15" s="65" t="inlineStr">
        <is>
          <t>—</t>
        </is>
      </c>
      <c r="M15" s="74" t="inlineStr">
        <is>
          <t>not published</t>
        </is>
      </c>
      <c r="N15" s="74" t="inlineStr">
        <is>
          <t>not published</t>
        </is>
      </c>
      <c r="O15" s="65" t="inlineStr">
        <is>
          <t>Site form.</t>
        </is>
      </c>
      <c r="P15" s="65" t="inlineStr">
        <is>
          <t>'One of the first OF agencies'; no-face/discreet models (Vocal Media)</t>
        </is>
      </c>
      <c r="Q15" s="65" t="inlineStr">
        <is>
          <t>https://vocal.media/journal/11-best-only-fans-agencies-to-join-best-only-fans-management-and-marketing-agencies-to-join-as-a-creator</t>
        </is>
      </c>
      <c r="R15" s="78" t="n">
        <v>2</v>
      </c>
      <c r="S15" s="67" t="n">
        <v>3</v>
      </c>
      <c r="T15" s="67" t="n">
        <v>3</v>
      </c>
      <c r="U15" s="67" t="n">
        <v>2</v>
      </c>
      <c r="V15" s="67" t="n">
        <v>4</v>
      </c>
      <c r="W15" s="67" t="n">
        <v>3</v>
      </c>
      <c r="X15" s="65">
        <f>ROUND((S15*'Scoring Model'!$B$5+T15*'Scoring Model'!$B$6+U15*'Scoring Model'!$B$7+V15*'Scoring Model'!$B$8+W15*'Scoring Model'!$B$9)/5*100,0)</f>
        <v/>
      </c>
      <c r="Y15" s="91">
        <f>INDEX('Scoring Model'!$B$14:$B$17,MATCH(X15,'Scoring Model'!$A$14:$A$17,1))</f>
        <v/>
      </c>
      <c r="Z15" s="92">
        <f>MOD(TIME(9,5,0)-F15/24,1)</f>
        <v/>
      </c>
      <c r="AA15" s="65">
        <f>IF(TIME(9,5,0)-F15/24&lt;0,"previous day (ET)","same day")</f>
        <v/>
      </c>
      <c r="AB15" s="74" t="n"/>
      <c r="AC15" s="65" t="inlineStr">
        <is>
          <t>Discreet roster = lower fit for a public photo leaderboard. Offer masked/creative-profile option or deprioritize.</t>
        </is>
      </c>
      <c r="AD15" s="65" t="inlineStr">
        <is>
          <t>Weekly enlistment — demand evidence</t>
        </is>
      </c>
    </row>
    <row r="16" ht="35.05" customHeight="1" s="55">
      <c r="A16" s="65" t="n">
        <v>15</v>
      </c>
      <c r="B16" s="77" t="inlineStr">
        <is>
          <t>Emerald Agency</t>
        </is>
      </c>
      <c r="C16" s="65" t="inlineStr">
        <is>
          <t>Gold Coast, AU · Los Angeles</t>
        </is>
      </c>
      <c r="D16" s="65" t="inlineStr">
        <is>
          <t>Australia / USA</t>
        </is>
      </c>
      <c r="E16" s="65" t="inlineStr">
        <is>
          <t>Australia/Brisbane (AEST, no DST)</t>
        </is>
      </c>
      <c r="F16" s="67" t="n">
        <v>14</v>
      </c>
      <c r="G16" s="74" t="inlineStr">
        <is>
          <t>not published</t>
        </is>
      </c>
      <c r="H16" s="65" t="inlineStr">
        <is>
          <t>—</t>
        </is>
      </c>
      <c r="I16" s="74" t="inlineStr">
        <is>
          <t>not published</t>
        </is>
      </c>
      <c r="J16" s="74" t="inlineStr">
        <is>
          <t>verify</t>
        </is>
      </c>
      <c r="K16" s="74" t="inlineStr">
        <is>
          <t>verify</t>
        </is>
      </c>
      <c r="L16" s="65" t="inlineStr">
        <is>
          <t>—</t>
        </is>
      </c>
      <c r="M16" s="74" t="inlineStr">
        <is>
          <t>not published</t>
        </is>
      </c>
      <c r="N16" s="74" t="inlineStr">
        <is>
          <t>not published</t>
        </is>
      </c>
      <c r="O16" s="65" t="inlineStr">
        <is>
          <t>Site form; NYT Magazine feature gives a PR-savvy hook.</t>
        </is>
      </c>
      <c r="P16" s="65" t="inlineStr">
        <is>
          <t>NYT Magazine-featured; exclusive roster (Vocal Media)</t>
        </is>
      </c>
      <c r="Q16" s="65" t="inlineStr">
        <is>
          <t>https://vocal.media/journal/11-best-only-fans-agencies-to-join-best-only-fans-management-and-marketing-agencies-to-join-as-a-creator</t>
        </is>
      </c>
      <c r="R16" s="78" t="n">
        <v>2</v>
      </c>
      <c r="S16" s="67" t="n">
        <v>3</v>
      </c>
      <c r="T16" s="67" t="n">
        <v>3</v>
      </c>
      <c r="U16" s="67" t="n">
        <v>3</v>
      </c>
      <c r="V16" s="67" t="n">
        <v>4</v>
      </c>
      <c r="W16" s="67" t="n">
        <v>3</v>
      </c>
      <c r="X16" s="65">
        <f>ROUND((S16*'Scoring Model'!$B$5+T16*'Scoring Model'!$B$6+U16*'Scoring Model'!$B$7+V16*'Scoring Model'!$B$8+W16*'Scoring Model'!$B$9)/5*100,0)</f>
        <v/>
      </c>
      <c r="Y16" s="91">
        <f>INDEX('Scoring Model'!$B$14:$B$17,MATCH(X16,'Scoring Model'!$A$14:$A$17,1))</f>
        <v/>
      </c>
      <c r="Z16" s="92">
        <f>MOD(TIME(9,5,0)-F16/24,1)</f>
        <v/>
      </c>
      <c r="AA16" s="65">
        <f>IF(TIME(9,5,0)-F16/24&lt;0,"previous day (ET)","same day")</f>
        <v/>
      </c>
      <c r="AB16" s="74" t="n"/>
      <c r="AC16" s="65" t="inlineStr">
        <is>
          <t>Dual timezone: send AU batch and LA batch separately.</t>
        </is>
      </c>
      <c r="AD16" s="65" t="inlineStr">
        <is>
          <t>Weekly enlistment — demand evidence</t>
        </is>
      </c>
    </row>
    <row r="17" ht="35.05" customHeight="1" s="55">
      <c r="A17" s="65" t="n">
        <v>16</v>
      </c>
      <c r="B17" s="77" t="inlineStr">
        <is>
          <t>Aruna Talent</t>
        </is>
      </c>
      <c r="C17" s="65" t="inlineStr">
        <is>
          <t>verify country</t>
        </is>
      </c>
      <c r="D17" s="65" t="inlineStr">
        <is>
          <t>verify</t>
        </is>
      </c>
      <c r="E17" s="65" t="inlineStr">
        <is>
          <t>verify</t>
        </is>
      </c>
      <c r="F17" s="67" t="n">
        <v>0</v>
      </c>
      <c r="G17" s="74" t="inlineStr">
        <is>
          <t>not published</t>
        </is>
      </c>
      <c r="H17" s="65" t="inlineStr">
        <is>
          <t>—</t>
        </is>
      </c>
      <c r="I17" s="74" t="inlineStr">
        <is>
          <t>not published</t>
        </is>
      </c>
      <c r="J17" s="65" t="inlineStr">
        <is>
          <t>arunatalent.com (apply)</t>
        </is>
      </c>
      <c r="K17" s="74" t="inlineStr">
        <is>
          <t>verify</t>
        </is>
      </c>
      <c r="L17" s="65" t="inlineStr">
        <is>
          <t>—</t>
        </is>
      </c>
      <c r="M17" s="74" t="inlineStr">
        <is>
          <t>not published</t>
        </is>
      </c>
      <c r="N17" s="74" t="inlineStr">
        <is>
          <t>not published</t>
        </is>
      </c>
      <c r="O17" s="65" t="inlineStr">
        <is>
          <t>Site apply page + LinkedIn search 'Aruna Talent'.</t>
        </is>
      </c>
      <c r="P17" s="65" t="inlineStr">
        <is>
          <t>60+ creators, ~100-person team, $10M+/yr creator revenue (their own 'State of OnlyFans 2026' post)</t>
        </is>
      </c>
      <c r="Q17" s="65" t="inlineStr">
        <is>
          <t>https://arunatalent.com/blog/state-of-onlyfans-2026/</t>
        </is>
      </c>
      <c r="R17" s="78" t="n">
        <v>2</v>
      </c>
      <c r="S17" s="67" t="n">
        <v>4</v>
      </c>
      <c r="T17" s="67" t="n">
        <v>3</v>
      </c>
      <c r="U17" s="67" t="n">
        <v>3</v>
      </c>
      <c r="V17" s="67" t="n">
        <v>4</v>
      </c>
      <c r="W17" s="67" t="n">
        <v>2</v>
      </c>
      <c r="X17" s="65">
        <f>ROUND((S17*'Scoring Model'!$B$5+T17*'Scoring Model'!$B$6+U17*'Scoring Model'!$B$7+V17*'Scoring Model'!$B$8+W17*'Scoring Model'!$B$9)/5*100,0)</f>
        <v/>
      </c>
      <c r="Y17" s="91">
        <f>INDEX('Scoring Model'!$B$14:$B$17,MATCH(X17,'Scoring Model'!$A$14:$A$17,1))</f>
        <v/>
      </c>
      <c r="Z17" s="92">
        <f>MOD(TIME(9,5,0)-F17/24,1)</f>
        <v/>
      </c>
      <c r="AA17" s="65">
        <f>IF(TIME(9,5,0)-F17/24&lt;0,"previous day (ET)","same day")</f>
        <v/>
      </c>
      <c r="AB17" s="74" t="n"/>
      <c r="AC17" s="65" t="inlineStr">
        <is>
          <t>Publishes industry data — data-driven; send the EV calculator.</t>
        </is>
      </c>
      <c r="AD17" s="65" t="inlineStr">
        <is>
          <t>Weekly enlistment — demand evidence</t>
        </is>
      </c>
    </row>
    <row r="18" ht="23.85" customHeight="1" s="55">
      <c r="A18" s="65" t="n">
        <v>17</v>
      </c>
      <c r="B18" s="77" t="inlineStr">
        <is>
          <t>TDM Agency</t>
        </is>
      </c>
      <c r="C18" s="65" t="inlineStr">
        <is>
          <t>verify (worldwide)</t>
        </is>
      </c>
      <c r="D18" s="65" t="inlineStr">
        <is>
          <t>verify</t>
        </is>
      </c>
      <c r="E18" s="65" t="inlineStr">
        <is>
          <t>verify</t>
        </is>
      </c>
      <c r="F18" s="67" t="n">
        <v>0</v>
      </c>
      <c r="G18" s="74" t="inlineStr">
        <is>
          <t>not published</t>
        </is>
      </c>
      <c r="H18" s="65" t="inlineStr">
        <is>
          <t>—</t>
        </is>
      </c>
      <c r="I18" s="74" t="inlineStr">
        <is>
          <t>not published</t>
        </is>
      </c>
      <c r="J18" s="65" t="inlineStr">
        <is>
          <t>tdmmanagement.com</t>
        </is>
      </c>
      <c r="K18" s="74" t="inlineStr">
        <is>
          <t>verify</t>
        </is>
      </c>
      <c r="L18" s="65" t="inlineStr">
        <is>
          <t>—</t>
        </is>
      </c>
      <c r="M18" s="74" t="inlineStr">
        <is>
          <t>not published</t>
        </is>
      </c>
      <c r="N18" s="74" t="inlineStr">
        <is>
          <t>not published</t>
        </is>
      </c>
      <c r="O18" s="65" t="inlineStr">
        <is>
          <t>Site form; Supercreator-verified listing.</t>
        </is>
      </c>
      <c r="P18" s="65" t="inlineStr">
        <is>
          <t>'World's leading' claim (Supercreator listing)</t>
        </is>
      </c>
      <c r="Q18" s="65" t="inlineStr">
        <is>
          <t>https://tdmmanagement.com/ · https://www.supercreator.app/agencies</t>
        </is>
      </c>
      <c r="R18" s="78" t="n">
        <v>2</v>
      </c>
      <c r="S18" s="67" t="n">
        <v>4</v>
      </c>
      <c r="T18" s="67" t="n">
        <v>3</v>
      </c>
      <c r="U18" s="67" t="n">
        <v>3</v>
      </c>
      <c r="V18" s="67" t="n">
        <v>4</v>
      </c>
      <c r="W18" s="67" t="n">
        <v>3</v>
      </c>
      <c r="X18" s="65">
        <f>ROUND((S18*'Scoring Model'!$B$5+T18*'Scoring Model'!$B$6+U18*'Scoring Model'!$B$7+V18*'Scoring Model'!$B$8+W18*'Scoring Model'!$B$9)/5*100,0)</f>
        <v/>
      </c>
      <c r="Y18" s="91">
        <f>INDEX('Scoring Model'!$B$14:$B$17,MATCH(X18,'Scoring Model'!$A$14:$A$17,1))</f>
        <v/>
      </c>
      <c r="Z18" s="92">
        <f>MOD(TIME(9,5,0)-F18/24,1)</f>
        <v/>
      </c>
      <c r="AA18" s="65">
        <f>IF(TIME(9,5,0)-F18/24&lt;0,"previous day (ET)","same day")</f>
        <v/>
      </c>
      <c r="AB18" s="74" t="n"/>
      <c r="AC18" s="65" t="inlineStr">
        <is>
          <t>Cross-creator collab culture = weekly contest fits their playbook.</t>
        </is>
      </c>
      <c r="AD18" s="65" t="inlineStr">
        <is>
          <t>Weekly enlistment — demand evidence</t>
        </is>
      </c>
    </row>
    <row r="19" ht="35.05" customHeight="1" s="55">
      <c r="A19" s="65" t="n">
        <v>18</v>
      </c>
      <c r="B19" s="77" t="inlineStr">
        <is>
          <t>FansHub</t>
        </is>
      </c>
      <c r="C19" s="65" t="inlineStr">
        <is>
          <t>UK &amp; USA chat teams</t>
        </is>
      </c>
      <c r="D19" s="65" t="inlineStr">
        <is>
          <t>UK / USA</t>
        </is>
      </c>
      <c r="E19" s="65" t="inlineStr">
        <is>
          <t>Europe/London (BST)</t>
        </is>
      </c>
      <c r="F19" s="67" t="n">
        <v>5</v>
      </c>
      <c r="G19" s="74" t="inlineStr">
        <is>
          <t>not published</t>
        </is>
      </c>
      <c r="H19" s="65" t="inlineStr">
        <is>
          <t>—</t>
        </is>
      </c>
      <c r="I19" s="74" t="inlineStr">
        <is>
          <t>not published</t>
        </is>
      </c>
      <c r="J19" s="74" t="inlineStr">
        <is>
          <t>verify</t>
        </is>
      </c>
      <c r="K19" s="74" t="inlineStr">
        <is>
          <t>verify</t>
        </is>
      </c>
      <c r="L19" s="65" t="inlineStr">
        <is>
          <t>—</t>
        </is>
      </c>
      <c r="M19" s="74" t="inlineStr">
        <is>
          <t>not published</t>
        </is>
      </c>
      <c r="N19" s="74" t="inlineStr">
        <is>
          <t>not published</t>
        </is>
      </c>
      <c r="O19" s="65" t="inlineStr">
        <is>
          <t>Site form; Companies House for UK Ltd officers.</t>
        </is>
      </c>
      <c r="P19" s="65" t="inlineStr">
        <is>
          <t>20+ promo methods incl. meme pages, podcasts, influencer collabs (Talented Ladies Club)</t>
        </is>
      </c>
      <c r="Q19" s="65" t="inlineStr">
        <is>
          <t>https://www.talentedladiesclub.com/articles/five-best-onlyfans-management-agencies-in-2026/</t>
        </is>
      </c>
      <c r="R19" s="78" t="n">
        <v>2</v>
      </c>
      <c r="S19" s="67" t="n">
        <v>3</v>
      </c>
      <c r="T19" s="67" t="n">
        <v>3</v>
      </c>
      <c r="U19" s="67" t="n">
        <v>4</v>
      </c>
      <c r="V19" s="67" t="n">
        <v>4</v>
      </c>
      <c r="W19" s="67" t="n">
        <v>2</v>
      </c>
      <c r="X19" s="65">
        <f>ROUND((S19*'Scoring Model'!$B$5+T19*'Scoring Model'!$B$6+U19*'Scoring Model'!$B$7+V19*'Scoring Model'!$B$8+W19*'Scoring Model'!$B$9)/5*100,0)</f>
        <v/>
      </c>
      <c r="Y19" s="91">
        <f>INDEX('Scoring Model'!$B$14:$B$17,MATCH(X19,'Scoring Model'!$A$14:$A$17,1))</f>
        <v/>
      </c>
      <c r="Z19" s="92">
        <f>MOD(TIME(9,5,0)-F19/24,1)</f>
        <v/>
      </c>
      <c r="AA19" s="65">
        <f>IF(TIME(9,5,0)-F19/24&lt;0,"previous day (ET)","same day")</f>
        <v/>
      </c>
      <c r="AB19" s="74" t="n"/>
      <c r="AC19" s="65" t="inlineStr">
        <is>
          <t>Marketing-native — TTS is one more promo method for their stack.</t>
        </is>
      </c>
      <c r="AD19" s="65" t="inlineStr">
        <is>
          <t>Weekly enlistment — demand evidence</t>
        </is>
      </c>
    </row>
    <row r="20" ht="23.85" customHeight="1" s="55">
      <c r="A20" s="65" t="n">
        <v>19</v>
      </c>
      <c r="B20" s="77" t="inlineStr">
        <is>
          <t>Lush Management</t>
        </is>
      </c>
      <c r="C20" s="65" t="inlineStr">
        <is>
          <t>UK HQ; roster US/UK/AU</t>
        </is>
      </c>
      <c r="D20" s="65" t="inlineStr">
        <is>
          <t>UK</t>
        </is>
      </c>
      <c r="E20" s="65" t="inlineStr">
        <is>
          <t>Europe/London (BST)</t>
        </is>
      </c>
      <c r="F20" s="67" t="n">
        <v>5</v>
      </c>
      <c r="G20" s="74" t="inlineStr">
        <is>
          <t>not published</t>
        </is>
      </c>
      <c r="H20" s="65" t="inlineStr">
        <is>
          <t>—</t>
        </is>
      </c>
      <c r="I20" s="74" t="inlineStr">
        <is>
          <t>not published</t>
        </is>
      </c>
      <c r="J20" s="65" t="inlineStr">
        <is>
          <t>lushmgmt.co.uk/apply (form)</t>
        </is>
      </c>
      <c r="K20" s="65" t="inlineStr">
        <is>
          <t>@thelushmgmt</t>
        </is>
      </c>
      <c r="L20" s="65" t="inlineStr">
        <is>
          <t>X @lush_mgmt</t>
        </is>
      </c>
      <c r="M20" s="74" t="inlineStr">
        <is>
          <t>not published</t>
        </is>
      </c>
      <c r="N20" s="74" t="inlineStr">
        <is>
          <t>not published</t>
        </is>
      </c>
      <c r="O20" s="65" t="inlineStr">
        <is>
          <t>Form + X/IG DM; Companies House for directors.</t>
        </is>
      </c>
      <c r="P20" s="65" t="inlineStr">
        <is>
          <t>'Nearly three years' experience; performance-only fees (site)</t>
        </is>
      </c>
      <c r="Q20" s="65" t="inlineStr">
        <is>
          <t>https://www.lushmgmt.co.uk/</t>
        </is>
      </c>
      <c r="R20" s="78" t="n">
        <v>2</v>
      </c>
      <c r="S20" s="67" t="n">
        <v>3</v>
      </c>
      <c r="T20" s="67" t="n">
        <v>3</v>
      </c>
      <c r="U20" s="67" t="n">
        <v>3</v>
      </c>
      <c r="V20" s="67" t="n">
        <v>4</v>
      </c>
      <c r="W20" s="67" t="n">
        <v>2</v>
      </c>
      <c r="X20" s="65">
        <f>ROUND((S20*'Scoring Model'!$B$5+T20*'Scoring Model'!$B$6+U20*'Scoring Model'!$B$7+V20*'Scoring Model'!$B$8+W20*'Scoring Model'!$B$9)/5*100,0)</f>
        <v/>
      </c>
      <c r="Y20" s="91">
        <f>INDEX('Scoring Model'!$B$14:$B$17,MATCH(X20,'Scoring Model'!$A$14:$A$17,1))</f>
        <v/>
      </c>
      <c r="Z20" s="92">
        <f>MOD(TIME(9,5,0)-F20/24,1)</f>
        <v/>
      </c>
      <c r="AA20" s="65">
        <f>IF(TIME(9,5,0)-F20/24&lt;0,"previous day (ET)","same day")</f>
        <v/>
      </c>
      <c r="AB20" s="74" t="n"/>
      <c r="AC20" s="65" t="inlineStr">
        <is>
          <t>Publishes Twitter/Reddit promo guides — comfortable with off-platform promo.</t>
        </is>
      </c>
      <c r="AD20" s="65" t="inlineStr">
        <is>
          <t>Weekly enlistment — demand evidence</t>
        </is>
      </c>
    </row>
    <row r="21" ht="35.05" customHeight="1" s="55">
      <c r="A21" s="65" t="n">
        <v>20</v>
      </c>
      <c r="B21" s="77" t="inlineStr">
        <is>
          <t>Rize Agency</t>
        </is>
      </c>
      <c r="C21" s="65" t="inlineStr">
        <is>
          <t>UK</t>
        </is>
      </c>
      <c r="D21" s="65" t="inlineStr">
        <is>
          <t>UK</t>
        </is>
      </c>
      <c r="E21" s="65" t="inlineStr">
        <is>
          <t>Europe/London (BST)</t>
        </is>
      </c>
      <c r="F21" s="67" t="n">
        <v>5</v>
      </c>
      <c r="G21" s="74" t="inlineStr">
        <is>
          <t>not published</t>
        </is>
      </c>
      <c r="H21" s="65" t="inlineStr">
        <is>
          <t>—</t>
        </is>
      </c>
      <c r="I21" s="74" t="inlineStr">
        <is>
          <t>not published</t>
        </is>
      </c>
      <c r="J21" s="74" t="inlineStr">
        <is>
          <t>verify</t>
        </is>
      </c>
      <c r="K21" s="74" t="inlineStr">
        <is>
          <t>verify</t>
        </is>
      </c>
      <c r="L21" s="65" t="inlineStr">
        <is>
          <t>—</t>
        </is>
      </c>
      <c r="M21" s="74" t="inlineStr">
        <is>
          <t>not published</t>
        </is>
      </c>
      <c r="N21" s="74" t="inlineStr">
        <is>
          <t>not published</t>
        </is>
      </c>
      <c r="O21" s="65" t="inlineStr">
        <is>
          <t>Site form; Companies House.</t>
        </is>
      </c>
      <c r="P21" s="65" t="inlineStr">
        <is>
          <t>Claims $5k→$180k/mo client growth (Vocal Media)</t>
        </is>
      </c>
      <c r="Q21" s="65" t="inlineStr">
        <is>
          <t>https://vocal.media/journal/11-best-only-fans-agencies-to-join-best-only-fans-management-and-marketing-agencies-to-join-as-a-creator</t>
        </is>
      </c>
      <c r="R21" s="78" t="n">
        <v>2</v>
      </c>
      <c r="S21" s="67" t="n">
        <v>3</v>
      </c>
      <c r="T21" s="67" t="n">
        <v>2</v>
      </c>
      <c r="U21" s="67" t="n">
        <v>3</v>
      </c>
      <c r="V21" s="67" t="n">
        <v>4</v>
      </c>
      <c r="W21" s="67" t="n">
        <v>2</v>
      </c>
      <c r="X21" s="65">
        <f>ROUND((S21*'Scoring Model'!$B$5+T21*'Scoring Model'!$B$6+U21*'Scoring Model'!$B$7+V21*'Scoring Model'!$B$8+W21*'Scoring Model'!$B$9)/5*100,0)</f>
        <v/>
      </c>
      <c r="Y21" s="91">
        <f>INDEX('Scoring Model'!$B$14:$B$17,MATCH(X21,'Scoring Model'!$A$14:$A$17,1))</f>
        <v/>
      </c>
      <c r="Z21" s="92">
        <f>MOD(TIME(9,5,0)-F21/24,1)</f>
        <v/>
      </c>
      <c r="AA21" s="65">
        <f>IF(TIME(9,5,0)-F21/24&lt;0,"previous day (ET)","same day")</f>
        <v/>
      </c>
      <c r="AB21" s="74" t="n"/>
      <c r="AC21" s="65" t="n"/>
      <c r="AD21" s="65" t="inlineStr">
        <is>
          <t>Weekly enlistment — demand evidence</t>
        </is>
      </c>
    </row>
    <row r="22" ht="23.85" customHeight="1" s="55">
      <c r="A22" s="65" t="n">
        <v>21</v>
      </c>
      <c r="B22" s="77" t="inlineStr">
        <is>
          <t>Elite OnlyFans Management</t>
        </is>
      </c>
      <c r="C22" s="65" t="inlineStr">
        <is>
          <t>Australia · UK · Dubai</t>
        </is>
      </c>
      <c r="D22" s="65" t="inlineStr">
        <is>
          <t>AU / UK / UAE</t>
        </is>
      </c>
      <c r="E22" s="65" t="inlineStr">
        <is>
          <t>Asia/Dubai (GST)</t>
        </is>
      </c>
      <c r="F22" s="67" t="n">
        <v>8</v>
      </c>
      <c r="G22" s="74" t="inlineStr">
        <is>
          <t>not published</t>
        </is>
      </c>
      <c r="H22" s="65" t="inlineStr">
        <is>
          <t>—</t>
        </is>
      </c>
      <c r="I22" s="74" t="inlineStr">
        <is>
          <t>not published</t>
        </is>
      </c>
      <c r="J22" s="65" t="inlineStr">
        <is>
          <t>eliteonlyfansmgmt.com (apply)</t>
        </is>
      </c>
      <c r="K22" s="74" t="inlineStr">
        <is>
          <t>verify</t>
        </is>
      </c>
      <c r="L22" s="65" t="inlineStr">
        <is>
          <t>—</t>
        </is>
      </c>
      <c r="M22" s="74" t="inlineStr">
        <is>
          <t>not published</t>
        </is>
      </c>
      <c r="N22" s="74" t="inlineStr">
        <is>
          <t>not published</t>
        </is>
      </c>
      <c r="O22" s="65" t="inlineStr">
        <is>
          <t>Site form.</t>
        </is>
      </c>
      <c r="P22" s="65" t="inlineStr">
        <is>
          <t>International team; ex-top-0.1% creators (site)</t>
        </is>
      </c>
      <c r="Q22" s="65" t="inlineStr">
        <is>
          <t>https://www.eliteonlyfansmgmt.com/</t>
        </is>
      </c>
      <c r="R22" s="78" t="n">
        <v>2</v>
      </c>
      <c r="S22" s="67" t="n">
        <v>3</v>
      </c>
      <c r="T22" s="67" t="n">
        <v>3</v>
      </c>
      <c r="U22" s="67" t="n">
        <v>4</v>
      </c>
      <c r="V22" s="67" t="n">
        <v>4</v>
      </c>
      <c r="W22" s="67" t="n">
        <v>3</v>
      </c>
      <c r="X22" s="65">
        <f>ROUND((S22*'Scoring Model'!$B$5+T22*'Scoring Model'!$B$6+U22*'Scoring Model'!$B$7+V22*'Scoring Model'!$B$8+W22*'Scoring Model'!$B$9)/5*100,0)</f>
        <v/>
      </c>
      <c r="Y22" s="91">
        <f>INDEX('Scoring Model'!$B$14:$B$17,MATCH(X22,'Scoring Model'!$A$14:$A$17,1))</f>
        <v/>
      </c>
      <c r="Z22" s="92">
        <f>MOD(TIME(9,5,0)-F22/24,1)</f>
        <v/>
      </c>
      <c r="AA22" s="65">
        <f>IF(TIME(9,5,0)-F22/24&lt;0,"previous day (ET)","same day")</f>
        <v/>
      </c>
      <c r="AB22" s="74" t="n"/>
      <c r="AC22" s="65" t="inlineStr">
        <is>
          <t>Dubai presence = crypto-comfortable.</t>
        </is>
      </c>
      <c r="AD22" s="65" t="inlineStr">
        <is>
          <t>Weekly enlistment — demand evidence</t>
        </is>
      </c>
    </row>
    <row r="23" ht="23.85" customHeight="1" s="55">
      <c r="A23" s="65" t="n">
        <v>22</v>
      </c>
      <c r="B23" s="77" t="inlineStr">
        <is>
          <t>Bunny Studios (Bunny Agency)</t>
        </is>
      </c>
      <c r="C23" s="65" t="inlineStr">
        <is>
          <t>Germany (est. 2019)</t>
        </is>
      </c>
      <c r="D23" s="65" t="inlineStr">
        <is>
          <t>Germany</t>
        </is>
      </c>
      <c r="E23" s="65" t="inlineStr">
        <is>
          <t>Europe/Berlin (CEST)</t>
        </is>
      </c>
      <c r="F23" s="67" t="n">
        <v>6</v>
      </c>
      <c r="G23" s="74" t="inlineStr">
        <is>
          <t>Named in Impressum (verify)</t>
        </is>
      </c>
      <c r="H23" s="65" t="inlineStr">
        <is>
          <t>Geschäftsführer</t>
        </is>
      </c>
      <c r="I23" s="74" t="inlineStr">
        <is>
          <t>in Impressum (verify)</t>
        </is>
      </c>
      <c r="J23" s="65" t="inlineStr">
        <is>
          <t>bunny-studios.com</t>
        </is>
      </c>
      <c r="K23" s="65" t="inlineStr">
        <is>
          <t>@onlybunnyagency</t>
        </is>
      </c>
      <c r="L23" s="65" t="inlineStr">
        <is>
          <t>—</t>
        </is>
      </c>
      <c r="M23" s="74" t="inlineStr">
        <is>
          <t>in Impressum</t>
        </is>
      </c>
      <c r="N23" s="74" t="inlineStr">
        <is>
          <t>in Impressum</t>
        </is>
      </c>
      <c r="O23" s="65" t="inlineStr">
        <is>
          <t>Impressum. Confirm whether the Supercreator 'Bunny agency' listing is the same entity.</t>
        </is>
      </c>
      <c r="P23" s="65" t="inlineStr">
        <is>
          <t>'Top one OF agency in Europe' claim; no lock-in contracts (site)</t>
        </is>
      </c>
      <c r="Q23" s="65" t="inlineStr">
        <is>
          <t>https://bunny-studios.com/ · https://www.supercreator.app/agencies</t>
        </is>
      </c>
      <c r="R23" s="78" t="n">
        <v>2</v>
      </c>
      <c r="S23" s="67" t="n">
        <v>3</v>
      </c>
      <c r="T23" s="67" t="n">
        <v>4</v>
      </c>
      <c r="U23" s="67" t="n">
        <v>3</v>
      </c>
      <c r="V23" s="67" t="n">
        <v>4</v>
      </c>
      <c r="W23" s="67" t="n">
        <v>2</v>
      </c>
      <c r="X23" s="65">
        <f>ROUND((S23*'Scoring Model'!$B$5+T23*'Scoring Model'!$B$6+U23*'Scoring Model'!$B$7+V23*'Scoring Model'!$B$8+W23*'Scoring Model'!$B$9)/5*100,0)</f>
        <v/>
      </c>
      <c r="Y23" s="91">
        <f>INDEX('Scoring Model'!$B$14:$B$17,MATCH(X23,'Scoring Model'!$A$14:$A$17,1))</f>
        <v/>
      </c>
      <c r="Z23" s="92">
        <f>MOD(TIME(9,5,0)-F23/24,1)</f>
        <v/>
      </c>
      <c r="AA23" s="65">
        <f>IF(TIME(9,5,0)-F23/24&lt;0,"previous day (ET)","same day")</f>
        <v/>
      </c>
      <c r="AB23" s="74" t="n"/>
      <c r="AC23" s="65" t="n"/>
      <c r="AD23" s="65" t="inlineStr">
        <is>
          <t>Weekly enlistment — demand evidence</t>
        </is>
      </c>
    </row>
    <row r="24" ht="23.85" customHeight="1" s="55">
      <c r="A24" s="65" t="n">
        <v>23</v>
      </c>
      <c r="B24" s="77" t="inlineStr">
        <is>
          <t>NEO Agency</t>
        </is>
      </c>
      <c r="C24" s="65" t="inlineStr">
        <is>
          <t>Germany</t>
        </is>
      </c>
      <c r="D24" s="65" t="inlineStr">
        <is>
          <t>Germany</t>
        </is>
      </c>
      <c r="E24" s="65" t="inlineStr">
        <is>
          <t>Europe/Berlin (CEST)</t>
        </is>
      </c>
      <c r="F24" s="67" t="n">
        <v>6</v>
      </c>
      <c r="G24" s="74" t="inlineStr">
        <is>
          <t>Impressum (verify)</t>
        </is>
      </c>
      <c r="H24" s="65" t="inlineStr">
        <is>
          <t>—</t>
        </is>
      </c>
      <c r="I24" s="74" t="inlineStr">
        <is>
          <t>in Impressum (verify)</t>
        </is>
      </c>
      <c r="J24" s="74" t="inlineStr">
        <is>
          <t>verify</t>
        </is>
      </c>
      <c r="K24" s="74" t="inlineStr">
        <is>
          <t>verify</t>
        </is>
      </c>
      <c r="L24" s="65" t="inlineStr">
        <is>
          <t>—</t>
        </is>
      </c>
      <c r="M24" s="74" t="inlineStr">
        <is>
          <t>in Impressum</t>
        </is>
      </c>
      <c r="N24" s="74" t="inlineStr">
        <is>
          <t>in Impressum</t>
        </is>
      </c>
      <c r="O24" s="65" t="inlineStr">
        <is>
          <t>Impressum.</t>
        </is>
      </c>
      <c r="P24" s="65" t="inlineStr">
        <is>
          <t>AI-driven growth positioning (Vocal Media)</t>
        </is>
      </c>
      <c r="Q24" s="65" t="inlineStr">
        <is>
          <t>https://vocal.media/filthy/top-10-best-only-fans-agencies-2024</t>
        </is>
      </c>
      <c r="R24" s="78" t="n">
        <v>2</v>
      </c>
      <c r="S24" s="67" t="n">
        <v>3</v>
      </c>
      <c r="T24" s="67" t="n">
        <v>4</v>
      </c>
      <c r="U24" s="67" t="n">
        <v>4</v>
      </c>
      <c r="V24" s="67" t="n">
        <v>4</v>
      </c>
      <c r="W24" s="67" t="n">
        <v>2</v>
      </c>
      <c r="X24" s="65">
        <f>ROUND((S24*'Scoring Model'!$B$5+T24*'Scoring Model'!$B$6+U24*'Scoring Model'!$B$7+V24*'Scoring Model'!$B$8+W24*'Scoring Model'!$B$9)/5*100,0)</f>
        <v/>
      </c>
      <c r="Y24" s="91">
        <f>INDEX('Scoring Model'!$B$14:$B$17,MATCH(X24,'Scoring Model'!$A$14:$A$17,1))</f>
        <v/>
      </c>
      <c r="Z24" s="92">
        <f>MOD(TIME(9,5,0)-F24/24,1)</f>
        <v/>
      </c>
      <c r="AA24" s="65">
        <f>IF(TIME(9,5,0)-F24/24&lt;0,"previous day (ET)","same day")</f>
        <v/>
      </c>
      <c r="AB24" s="74" t="n"/>
      <c r="AC24" s="65" t="inlineStr">
        <is>
          <t>Tech-forward — onchain trophies/gasless wallets are a feature.</t>
        </is>
      </c>
      <c r="AD24" s="65" t="inlineStr">
        <is>
          <t>Weekly enlistment — demand evidence</t>
        </is>
      </c>
    </row>
    <row r="25" ht="35.05" customHeight="1" s="55">
      <c r="A25" s="65" t="n">
        <v>24</v>
      </c>
      <c r="B25" s="77" t="inlineStr">
        <is>
          <t>NorthCoast Agency</t>
        </is>
      </c>
      <c r="C25" s="65" t="inlineStr">
        <is>
          <t>Germany</t>
        </is>
      </c>
      <c r="D25" s="65" t="inlineStr">
        <is>
          <t>Germany</t>
        </is>
      </c>
      <c r="E25" s="65" t="inlineStr">
        <is>
          <t>Europe/Berlin (CEST)</t>
        </is>
      </c>
      <c r="F25" s="67" t="n">
        <v>6</v>
      </c>
      <c r="G25" s="74" t="inlineStr">
        <is>
          <t>Impressum (verify)</t>
        </is>
      </c>
      <c r="H25" s="65" t="inlineStr">
        <is>
          <t>—</t>
        </is>
      </c>
      <c r="I25" s="74" t="inlineStr">
        <is>
          <t>in Impressum (verify)</t>
        </is>
      </c>
      <c r="J25" s="74" t="inlineStr">
        <is>
          <t>verify</t>
        </is>
      </c>
      <c r="K25" s="74" t="inlineStr">
        <is>
          <t>verify</t>
        </is>
      </c>
      <c r="L25" s="65" t="inlineStr">
        <is>
          <t>—</t>
        </is>
      </c>
      <c r="M25" s="74" t="inlineStr">
        <is>
          <t>in Impressum</t>
        </is>
      </c>
      <c r="N25" s="74" t="inlineStr">
        <is>
          <t>in Impressum</t>
        </is>
      </c>
      <c r="O25" s="65" t="inlineStr">
        <is>
          <t>Impressum.</t>
        </is>
      </c>
      <c r="P25" s="65" t="inlineStr">
        <is>
          <t>'$6M+ earned for creators' claim (Vocal Media)</t>
        </is>
      </c>
      <c r="Q25" s="65" t="inlineStr">
        <is>
          <t>https://vocal.media/journal/11-best-only-fans-agencies-to-join-best-only-fans-management-and-marketing-agencies-to-join-as-a-creator</t>
        </is>
      </c>
      <c r="R25" s="78" t="n">
        <v>2</v>
      </c>
      <c r="S25" s="67" t="n">
        <v>3</v>
      </c>
      <c r="T25" s="67" t="n">
        <v>4</v>
      </c>
      <c r="U25" s="67" t="n">
        <v>3</v>
      </c>
      <c r="V25" s="67" t="n">
        <v>4</v>
      </c>
      <c r="W25" s="67" t="n">
        <v>2</v>
      </c>
      <c r="X25" s="65">
        <f>ROUND((S25*'Scoring Model'!$B$5+T25*'Scoring Model'!$B$6+U25*'Scoring Model'!$B$7+V25*'Scoring Model'!$B$8+W25*'Scoring Model'!$B$9)/5*100,0)</f>
        <v/>
      </c>
      <c r="Y25" s="91">
        <f>INDEX('Scoring Model'!$B$14:$B$17,MATCH(X25,'Scoring Model'!$A$14:$A$17,1))</f>
        <v/>
      </c>
      <c r="Z25" s="92">
        <f>MOD(TIME(9,5,0)-F25/24,1)</f>
        <v/>
      </c>
      <c r="AA25" s="65">
        <f>IF(TIME(9,5,0)-F25/24&lt;0,"previous day (ET)","same day")</f>
        <v/>
      </c>
      <c r="AB25" s="74" t="n"/>
      <c r="AC25" s="65" t="n"/>
      <c r="AD25" s="65" t="inlineStr">
        <is>
          <t>Weekly enlistment — demand evidence</t>
        </is>
      </c>
    </row>
    <row r="26" ht="35.05" customHeight="1" s="55">
      <c r="A26" s="65" t="n">
        <v>25</v>
      </c>
      <c r="B26" s="77" t="inlineStr">
        <is>
          <t>Dolce Vita Agency</t>
        </is>
      </c>
      <c r="C26" s="65" t="inlineStr">
        <is>
          <t>USA &amp; Germany teams</t>
        </is>
      </c>
      <c r="D26" s="65" t="inlineStr">
        <is>
          <t>USA / Germany</t>
        </is>
      </c>
      <c r="E26" s="65" t="inlineStr">
        <is>
          <t>Europe/Berlin (CEST)</t>
        </is>
      </c>
      <c r="F26" s="67" t="n">
        <v>6</v>
      </c>
      <c r="G26" s="74" t="inlineStr">
        <is>
          <t>Impressum (verify)</t>
        </is>
      </c>
      <c r="H26" s="65" t="inlineStr">
        <is>
          <t>—</t>
        </is>
      </c>
      <c r="I26" s="74" t="inlineStr">
        <is>
          <t>in Impressum (verify)</t>
        </is>
      </c>
      <c r="J26" s="74" t="inlineStr">
        <is>
          <t>verify</t>
        </is>
      </c>
      <c r="K26" s="74" t="inlineStr">
        <is>
          <t>verify</t>
        </is>
      </c>
      <c r="L26" s="65" t="inlineStr">
        <is>
          <t>—</t>
        </is>
      </c>
      <c r="M26" s="74" t="inlineStr">
        <is>
          <t>not published</t>
        </is>
      </c>
      <c r="N26" s="74" t="inlineStr">
        <is>
          <t>not published</t>
        </is>
      </c>
      <c r="O26" s="65" t="inlineStr">
        <is>
          <t>Impressum (if DE entity) or site form.</t>
        </is>
      </c>
      <c r="P26" s="65" t="inlineStr">
        <is>
          <t>25+ creators, most top 0.02% (Vocal Media)</t>
        </is>
      </c>
      <c r="Q26" s="65" t="inlineStr">
        <is>
          <t>https://vocal.media/journal/11-best-only-fans-agencies-to-join-best-only-fans-management-and-marketing-agencies-to-join-as-a-creator</t>
        </is>
      </c>
      <c r="R26" s="78" t="n">
        <v>2</v>
      </c>
      <c r="S26" s="67" t="n">
        <v>3</v>
      </c>
      <c r="T26" s="67" t="n">
        <v>3</v>
      </c>
      <c r="U26" s="67" t="n">
        <v>3</v>
      </c>
      <c r="V26" s="67" t="n">
        <v>4</v>
      </c>
      <c r="W26" s="67" t="n">
        <v>2</v>
      </c>
      <c r="X26" s="65">
        <f>ROUND((S26*'Scoring Model'!$B$5+T26*'Scoring Model'!$B$6+U26*'Scoring Model'!$B$7+V26*'Scoring Model'!$B$8+W26*'Scoring Model'!$B$9)/5*100,0)</f>
        <v/>
      </c>
      <c r="Y26" s="91">
        <f>INDEX('Scoring Model'!$B$14:$B$17,MATCH(X26,'Scoring Model'!$A$14:$A$17,1))</f>
        <v/>
      </c>
      <c r="Z26" s="92">
        <f>MOD(TIME(9,5,0)-F26/24,1)</f>
        <v/>
      </c>
      <c r="AA26" s="65">
        <f>IF(TIME(9,5,0)-F26/24&lt;0,"previous day (ET)","same day")</f>
        <v/>
      </c>
      <c r="AB26" s="74" t="n"/>
      <c r="AC26" s="65" t="inlineStr">
        <is>
          <t>'No PPV spam' ethos — lead with fan-experience framing.</t>
        </is>
      </c>
      <c r="AD26" s="65" t="inlineStr">
        <is>
          <t>Weekly enlistment — demand evidence</t>
        </is>
      </c>
    </row>
    <row r="27" ht="23.85" customHeight="1" s="55">
      <c r="A27" s="65" t="n">
        <v>26</v>
      </c>
      <c r="B27" s="77" t="inlineStr">
        <is>
          <t>Foxy Studios</t>
        </is>
      </c>
      <c r="C27" s="65" t="inlineStr">
        <is>
          <t>EU (verify country; euro-denominated)</t>
        </is>
      </c>
      <c r="D27" s="65" t="inlineStr">
        <is>
          <t>verify</t>
        </is>
      </c>
      <c r="E27" s="65" t="inlineStr">
        <is>
          <t>Europe/Berlin (assume CEST)</t>
        </is>
      </c>
      <c r="F27" s="67" t="n">
        <v>6</v>
      </c>
      <c r="G27" s="74" t="inlineStr">
        <is>
          <t>not published</t>
        </is>
      </c>
      <c r="H27" s="65" t="inlineStr">
        <is>
          <t>Female-led leadership team</t>
        </is>
      </c>
      <c r="I27" s="74" t="inlineStr">
        <is>
          <t>not published</t>
        </is>
      </c>
      <c r="J27" s="65" t="inlineStr">
        <is>
          <t>Supercreator listing → site</t>
        </is>
      </c>
      <c r="K27" s="74" t="inlineStr">
        <is>
          <t>verify</t>
        </is>
      </c>
      <c r="L27" s="65" t="inlineStr">
        <is>
          <t>—</t>
        </is>
      </c>
      <c r="M27" s="74" t="inlineStr">
        <is>
          <t>not published</t>
        </is>
      </c>
      <c r="N27" s="74" t="inlineStr">
        <is>
          <t>not published</t>
        </is>
      </c>
      <c r="O27" s="65" t="inlineStr">
        <is>
          <t>Site/Impressum.</t>
        </is>
      </c>
      <c r="P27" s="65" t="inlineStr">
        <is>
          <t>55/45 split in creator's favor; real-time dashboards (Supercreator, verified)</t>
        </is>
      </c>
      <c r="Q27" s="65" t="inlineStr">
        <is>
          <t>https://www.supercreator.app/agencies</t>
        </is>
      </c>
      <c r="R27" s="78" t="n">
        <v>2</v>
      </c>
      <c r="S27" s="67" t="n">
        <v>3</v>
      </c>
      <c r="T27" s="67" t="n">
        <v>3</v>
      </c>
      <c r="U27" s="67" t="n">
        <v>3</v>
      </c>
      <c r="V27" s="67" t="n">
        <v>4</v>
      </c>
      <c r="W27" s="67" t="n">
        <v>2</v>
      </c>
      <c r="X27" s="65">
        <f>ROUND((S27*'Scoring Model'!$B$5+T27*'Scoring Model'!$B$6+U27*'Scoring Model'!$B$7+V27*'Scoring Model'!$B$8+W27*'Scoring Model'!$B$9)/5*100,0)</f>
        <v/>
      </c>
      <c r="Y27" s="91">
        <f>INDEX('Scoring Model'!$B$14:$B$17,MATCH(X27,'Scoring Model'!$A$14:$A$17,1))</f>
        <v/>
      </c>
      <c r="Z27" s="92">
        <f>MOD(TIME(9,5,0)-F27/24,1)</f>
        <v/>
      </c>
      <c r="AA27" s="65">
        <f>IF(TIME(9,5,0)-F27/24&lt;0,"previous day (ET)","same day")</f>
        <v/>
      </c>
      <c r="AB27" s="74" t="n"/>
      <c r="AC27" s="65" t="inlineStr">
        <is>
          <t>Transparency brand — show the onchain audit page and prize split.</t>
        </is>
      </c>
      <c r="AD27" s="65" t="inlineStr">
        <is>
          <t>Weekly enlistment — demand evidence</t>
        </is>
      </c>
    </row>
    <row r="28" ht="35.05" customHeight="1" s="55">
      <c r="A28" s="65" t="n">
        <v>27</v>
      </c>
      <c r="B28" s="77" t="inlineStr">
        <is>
          <t>Magic Agency</t>
        </is>
      </c>
      <c r="C28" s="65" t="inlineStr">
        <is>
          <t>verify (hosts meetups in USA, Thailand, Dubai, Europe, Brazil)</t>
        </is>
      </c>
      <c r="D28" s="65" t="inlineStr">
        <is>
          <t>verify</t>
        </is>
      </c>
      <c r="E28" s="65" t="inlineStr">
        <is>
          <t>verify</t>
        </is>
      </c>
      <c r="F28" s="67" t="n">
        <v>6</v>
      </c>
      <c r="G28" s="74" t="inlineStr">
        <is>
          <t>not published</t>
        </is>
      </c>
      <c r="H28" s="65" t="inlineStr">
        <is>
          <t>—</t>
        </is>
      </c>
      <c r="I28" s="74" t="inlineStr">
        <is>
          <t>not published</t>
        </is>
      </c>
      <c r="J28" s="74" t="inlineStr">
        <is>
          <t>verify</t>
        </is>
      </c>
      <c r="K28" s="74" t="inlineStr">
        <is>
          <t>verify</t>
        </is>
      </c>
      <c r="L28" s="65" t="inlineStr">
        <is>
          <t>—</t>
        </is>
      </c>
      <c r="M28" s="74" t="inlineStr">
        <is>
          <t>not published</t>
        </is>
      </c>
      <c r="N28" s="74" t="inlineStr">
        <is>
          <t>not published</t>
        </is>
      </c>
      <c r="O28" s="65" t="inlineStr">
        <is>
          <t>Site form; ask to attend a meetup.</t>
        </is>
      </c>
      <c r="P28" s="65" t="inlineStr">
        <is>
          <t>Global creator meetups; weekly QA reports (Vocal Media)</t>
        </is>
      </c>
      <c r="Q28" s="65" t="inlineStr">
        <is>
          <t>https://vocal.media/journal/11-best-only-fans-agencies-to-join-best-only-fans-management-and-marketing-agencies-to-join-as-a-creator</t>
        </is>
      </c>
      <c r="R28" s="78" t="n">
        <v>2</v>
      </c>
      <c r="S28" s="67" t="n">
        <v>3</v>
      </c>
      <c r="T28" s="67" t="n">
        <v>3</v>
      </c>
      <c r="U28" s="67" t="n">
        <v>4</v>
      </c>
      <c r="V28" s="67" t="n">
        <v>4</v>
      </c>
      <c r="W28" s="67" t="n">
        <v>4</v>
      </c>
      <c r="X28" s="65">
        <f>ROUND((S28*'Scoring Model'!$B$5+T28*'Scoring Model'!$B$6+U28*'Scoring Model'!$B$7+V28*'Scoring Model'!$B$8+W28*'Scoring Model'!$B$9)/5*100,0)</f>
        <v/>
      </c>
      <c r="Y28" s="91">
        <f>INDEX('Scoring Model'!$B$14:$B$17,MATCH(X28,'Scoring Model'!$A$14:$A$17,1))</f>
        <v/>
      </c>
      <c r="Z28" s="92">
        <f>MOD(TIME(9,5,0)-F28/24,1)</f>
        <v/>
      </c>
      <c r="AA28" s="65">
        <f>IF(TIME(9,5,0)-F28/24&lt;0,"previous day (ET)","same day")</f>
        <v/>
      </c>
      <c r="AB28" s="74" t="n"/>
      <c r="AC28" s="65" t="inlineStr">
        <is>
          <t>Meetup culture = in-person pitch to founder + creators at once.</t>
        </is>
      </c>
      <c r="AD28" s="65" t="inlineStr">
        <is>
          <t>Weekly enlistment — demand evidence</t>
        </is>
      </c>
    </row>
    <row r="29" ht="23.85" customHeight="1" s="55">
      <c r="A29" s="65" t="n">
        <v>28</v>
      </c>
      <c r="B29" s="77" t="inlineStr">
        <is>
          <t>Upbrand</t>
        </is>
      </c>
      <c r="C29" s="65" t="inlineStr">
        <is>
          <t>Australia</t>
        </is>
      </c>
      <c r="D29" s="65" t="inlineStr">
        <is>
          <t>Australia</t>
        </is>
      </c>
      <c r="E29" s="65" t="inlineStr">
        <is>
          <t>Australia/Sydney (AEST→AEDT Oct 4)</t>
        </is>
      </c>
      <c r="F29" s="67" t="n">
        <v>14</v>
      </c>
      <c r="G29" s="65" t="inlineStr">
        <is>
          <t>Tony Izzet</t>
        </is>
      </c>
      <c r="H29" s="65" t="inlineStr">
        <is>
          <t>Founder</t>
        </is>
      </c>
      <c r="I29" s="74" t="inlineStr">
        <is>
          <t>not published</t>
        </is>
      </c>
      <c r="J29" s="65" t="inlineStr">
        <is>
          <t>Instagram</t>
        </is>
      </c>
      <c r="K29" s="65" t="inlineStr">
        <is>
          <t>@upbrand.au (121K) · founder @tonyizzet</t>
        </is>
      </c>
      <c r="L29" s="65" t="inlineStr">
        <is>
          <t>—</t>
        </is>
      </c>
      <c r="M29" s="74" t="inlineStr">
        <is>
          <t>not published</t>
        </is>
      </c>
      <c r="N29" s="74" t="inlineStr">
        <is>
          <t>not published</t>
        </is>
      </c>
      <c r="O29" s="65" t="inlineStr">
        <is>
          <t>Founder is public on IG — DM him directly. ABN Lookup for the entity.</t>
        </is>
      </c>
      <c r="P29" s="65" t="inlineStr">
        <is>
          <t>'Scaling models globally to $40,000+/mo'; 'all spots currently filled' (IG bio)</t>
        </is>
      </c>
      <c r="Q29" s="65" t="inlineStr">
        <is>
          <t>https://www.instagram.com/upbrand.au/</t>
        </is>
      </c>
      <c r="R29" s="78" t="n">
        <v>2</v>
      </c>
      <c r="S29" s="67" t="n">
        <v>3</v>
      </c>
      <c r="T29" s="67" t="n">
        <v>4</v>
      </c>
      <c r="U29" s="67" t="n">
        <v>3</v>
      </c>
      <c r="V29" s="67" t="n">
        <v>4</v>
      </c>
      <c r="W29" s="67" t="n">
        <v>2</v>
      </c>
      <c r="X29" s="65">
        <f>ROUND((S29*'Scoring Model'!$B$5+T29*'Scoring Model'!$B$6+U29*'Scoring Model'!$B$7+V29*'Scoring Model'!$B$8+W29*'Scoring Model'!$B$9)/5*100,0)</f>
        <v/>
      </c>
      <c r="Y29" s="91">
        <f>INDEX('Scoring Model'!$B$14:$B$17,MATCH(X29,'Scoring Model'!$A$14:$A$17,1))</f>
        <v/>
      </c>
      <c r="Z29" s="92">
        <f>MOD(TIME(9,5,0)-F29/24,1)</f>
        <v/>
      </c>
      <c r="AA29" s="65">
        <f>IF(TIME(9,5,0)-F29/24&lt;0,"previous day (ET)","same day")</f>
        <v/>
      </c>
      <c r="AB29" s="74" t="n"/>
      <c r="AC29" s="65" t="inlineStr">
        <is>
          <t>'Spots filled' = capacity-constrained; TTS adds revenue without adding headcount.</t>
        </is>
      </c>
      <c r="AD29" s="65" t="inlineStr">
        <is>
          <t>Acquirer track — see Acquirers tab</t>
        </is>
      </c>
    </row>
    <row r="30" ht="35.05" customHeight="1" s="55">
      <c r="A30" s="65" t="n">
        <v>29</v>
      </c>
      <c r="B30" s="77" t="inlineStr">
        <is>
          <t>Azzur Agency (OnlyFansManagement.com.au)</t>
        </is>
      </c>
      <c r="C30" s="65" t="inlineStr">
        <is>
          <t>Australia</t>
        </is>
      </c>
      <c r="D30" s="65" t="inlineStr">
        <is>
          <t>Australia</t>
        </is>
      </c>
      <c r="E30" s="65" t="inlineStr">
        <is>
          <t>Australia/Sydney (AEST→AEDT Oct 4)</t>
        </is>
      </c>
      <c r="F30" s="67" t="n">
        <v>14</v>
      </c>
      <c r="G30" s="74" t="inlineStr">
        <is>
          <t>not published</t>
        </is>
      </c>
      <c r="H30" s="65" t="inlineStr">
        <is>
          <t>Leadership roles on About page (names: verify)</t>
        </is>
      </c>
      <c r="I30" s="74" t="inlineStr">
        <is>
          <t>not published</t>
        </is>
      </c>
      <c r="J30" s="65" t="inlineStr">
        <is>
          <t>onlyfansmanagement.com.au/about-us</t>
        </is>
      </c>
      <c r="K30" s="74" t="inlineStr">
        <is>
          <t>verify</t>
        </is>
      </c>
      <c r="L30" s="65" t="inlineStr">
        <is>
          <t>—</t>
        </is>
      </c>
      <c r="M30" s="74" t="inlineStr">
        <is>
          <t>not published</t>
        </is>
      </c>
      <c r="N30" s="74" t="inlineStr">
        <is>
          <t>not published</t>
        </is>
      </c>
      <c r="O30" s="65" t="inlineStr">
        <is>
          <t>About page lists roles; ABN Lookup.</t>
        </is>
      </c>
      <c r="P30" s="65" t="inlineStr">
        <is>
          <t>Talent/celebrities/public figures focus (site)</t>
        </is>
      </c>
      <c r="Q30" s="65" t="inlineStr">
        <is>
          <t>https://onlyfansmanagement.com.au/</t>
        </is>
      </c>
      <c r="R30" s="78" t="n">
        <v>2</v>
      </c>
      <c r="S30" s="67" t="n">
        <v>3</v>
      </c>
      <c r="T30" s="67" t="n">
        <v>3</v>
      </c>
      <c r="U30" s="67" t="n">
        <v>3</v>
      </c>
      <c r="V30" s="67" t="n">
        <v>4</v>
      </c>
      <c r="W30" s="67" t="n">
        <v>2</v>
      </c>
      <c r="X30" s="65">
        <f>ROUND((S30*'Scoring Model'!$B$5+T30*'Scoring Model'!$B$6+U30*'Scoring Model'!$B$7+V30*'Scoring Model'!$B$8+W30*'Scoring Model'!$B$9)/5*100,0)</f>
        <v/>
      </c>
      <c r="Y30" s="91">
        <f>INDEX('Scoring Model'!$B$14:$B$17,MATCH(X30,'Scoring Model'!$A$14:$A$17,1))</f>
        <v/>
      </c>
      <c r="Z30" s="92">
        <f>MOD(TIME(9,5,0)-F30/24,1)</f>
        <v/>
      </c>
      <c r="AA30" s="65">
        <f>IF(TIME(9,5,0)-F30/24&lt;0,"previous day (ET)","same day")</f>
        <v/>
      </c>
      <c r="AB30" s="74" t="n"/>
      <c r="AC30" s="65" t="inlineStr">
        <is>
          <t>Celebrity roster = bigger vote pull per creator.</t>
        </is>
      </c>
      <c r="AD30" s="65" t="inlineStr">
        <is>
          <t>Weekly enlistment — demand evidence</t>
        </is>
      </c>
    </row>
    <row r="31" ht="23.85" customHeight="1" s="55">
      <c r="A31" s="65" t="n">
        <v>30</v>
      </c>
      <c r="B31" s="77" t="inlineStr">
        <is>
          <t>SirenCY</t>
        </is>
      </c>
      <c r="C31" s="65" t="inlineStr">
        <is>
          <t>verify (CY?)</t>
        </is>
      </c>
      <c r="D31" s="65" t="inlineStr">
        <is>
          <t>verify</t>
        </is>
      </c>
      <c r="E31" s="65" t="inlineStr">
        <is>
          <t>Europe/Nicosia (assume EEST)</t>
        </is>
      </c>
      <c r="F31" s="67" t="n">
        <v>7</v>
      </c>
      <c r="G31" s="74" t="inlineStr">
        <is>
          <t>not published</t>
        </is>
      </c>
      <c r="H31" s="65" t="inlineStr">
        <is>
          <t>—</t>
        </is>
      </c>
      <c r="I31" s="74" t="inlineStr">
        <is>
          <t>not published</t>
        </is>
      </c>
      <c r="J31" s="65" t="inlineStr">
        <is>
          <t>sirency.com</t>
        </is>
      </c>
      <c r="K31" s="74" t="inlineStr">
        <is>
          <t>verify</t>
        </is>
      </c>
      <c r="L31" s="65" t="inlineStr">
        <is>
          <t>—</t>
        </is>
      </c>
      <c r="M31" s="74" t="inlineStr">
        <is>
          <t>not published</t>
        </is>
      </c>
      <c r="N31" s="74" t="inlineStr">
        <is>
          <t>not published</t>
        </is>
      </c>
      <c r="O31" s="65" t="inlineStr">
        <is>
          <t>Site; treat their numbers as marketing until verified.</t>
        </is>
      </c>
      <c r="P31" s="65" t="inlineStr">
        <is>
          <t>Claims 312+ creators, $50M+ managed (own blog)</t>
        </is>
      </c>
      <c r="Q31" s="65" t="inlineStr">
        <is>
          <t>https://www.sirency.com/blog/biggest-onlyfans-agencies-2026-the-major-players-revealed</t>
        </is>
      </c>
      <c r="R31" s="78" t="n">
        <v>2</v>
      </c>
      <c r="S31" s="67" t="n">
        <v>4</v>
      </c>
      <c r="T31" s="67" t="n">
        <v>3</v>
      </c>
      <c r="U31" s="67" t="n">
        <v>3</v>
      </c>
      <c r="V31" s="67" t="n">
        <v>3</v>
      </c>
      <c r="W31" s="67" t="n">
        <v>2</v>
      </c>
      <c r="X31" s="65">
        <f>ROUND((S31*'Scoring Model'!$B$5+T31*'Scoring Model'!$B$6+U31*'Scoring Model'!$B$7+V31*'Scoring Model'!$B$8+W31*'Scoring Model'!$B$9)/5*100,0)</f>
        <v/>
      </c>
      <c r="Y31" s="91">
        <f>INDEX('Scoring Model'!$B$14:$B$17,MATCH(X31,'Scoring Model'!$A$14:$A$17,1))</f>
        <v/>
      </c>
      <c r="Z31" s="92">
        <f>MOD(TIME(9,5,0)-F31/24,1)</f>
        <v/>
      </c>
      <c r="AA31" s="65">
        <f>IF(TIME(9,5,0)-F31/24&lt;0,"previous day (ET)","same day")</f>
        <v/>
      </c>
      <c r="AB31" s="74" t="n"/>
      <c r="AC31" s="65" t="inlineStr">
        <is>
          <t>Verify before relying on scale.</t>
        </is>
      </c>
      <c r="AD31" s="65" t="inlineStr">
        <is>
          <t>Weekly enlistment — demand evidence</t>
        </is>
      </c>
    </row>
    <row r="32" ht="23.85" customHeight="1" s="55">
      <c r="A32" s="65" t="n">
        <v>31</v>
      </c>
      <c r="B32" s="93" t="inlineStr">
        <is>
          <t>Melossom Management</t>
        </is>
      </c>
      <c r="C32" s="65" t="inlineStr">
        <is>
          <t>UK</t>
        </is>
      </c>
      <c r="D32" s="65" t="inlineStr">
        <is>
          <t>UK</t>
        </is>
      </c>
      <c r="E32" s="65" t="inlineStr">
        <is>
          <t>Europe/London (BST)</t>
        </is>
      </c>
      <c r="F32" s="67" t="n">
        <v>5</v>
      </c>
      <c r="G32" s="74" t="inlineStr">
        <is>
          <t>not published</t>
        </is>
      </c>
      <c r="H32" s="65" t="inlineStr">
        <is>
          <t>—</t>
        </is>
      </c>
      <c r="I32" s="74" t="inlineStr">
        <is>
          <t>not published</t>
        </is>
      </c>
      <c r="J32" s="65" t="inlineStr">
        <is>
          <t>melossommgmt.com</t>
        </is>
      </c>
      <c r="K32" s="74" t="inlineStr">
        <is>
          <t>verify</t>
        </is>
      </c>
      <c r="L32" s="65" t="inlineStr">
        <is>
          <t>—</t>
        </is>
      </c>
      <c r="M32" s="74" t="inlineStr">
        <is>
          <t>not published</t>
        </is>
      </c>
      <c r="N32" s="74" t="inlineStr">
        <is>
          <t>not published</t>
        </is>
      </c>
      <c r="O32" s="65" t="inlineStr">
        <is>
          <t>Site form; Companies House.</t>
        </is>
      </c>
      <c r="P32" s="65" t="inlineStr">
        <is>
          <t>'UK's leading' claim (site)</t>
        </is>
      </c>
      <c r="Q32" s="65" t="inlineStr">
        <is>
          <t>https://www.melossommgmt.com/</t>
        </is>
      </c>
      <c r="R32" s="94" t="n">
        <v>3</v>
      </c>
      <c r="S32" s="67" t="n">
        <v>2</v>
      </c>
      <c r="T32" s="67" t="n">
        <v>2</v>
      </c>
      <c r="U32" s="67" t="n">
        <v>3</v>
      </c>
      <c r="V32" s="67" t="n">
        <v>4</v>
      </c>
      <c r="W32" s="67" t="n">
        <v>2</v>
      </c>
      <c r="X32" s="65">
        <f>ROUND((S32*'Scoring Model'!$B$5+T32*'Scoring Model'!$B$6+U32*'Scoring Model'!$B$7+V32*'Scoring Model'!$B$8+W32*'Scoring Model'!$B$9)/5*100,0)</f>
        <v/>
      </c>
      <c r="Y32" s="91">
        <f>INDEX('Scoring Model'!$B$14:$B$17,MATCH(X32,'Scoring Model'!$A$14:$A$17,1))</f>
        <v/>
      </c>
      <c r="Z32" s="92">
        <f>MOD(TIME(9,5,0)-F32/24,1)</f>
        <v/>
      </c>
      <c r="AA32" s="65">
        <f>IF(TIME(9,5,0)-F32/24&lt;0,"previous day (ET)","same day")</f>
        <v/>
      </c>
      <c r="AB32" s="74" t="n"/>
      <c r="AC32" s="65" t="n"/>
      <c r="AD32" s="65" t="inlineStr">
        <is>
          <t>Weekly enlistment — demand evidence</t>
        </is>
      </c>
    </row>
    <row r="33" ht="23.85" customHeight="1" s="55">
      <c r="A33" s="65" t="n">
        <v>32</v>
      </c>
      <c r="B33" s="93" t="inlineStr">
        <is>
          <t>Red Fox</t>
        </is>
      </c>
      <c r="C33" s="65" t="inlineStr">
        <is>
          <t>UK</t>
        </is>
      </c>
      <c r="D33" s="65" t="inlineStr">
        <is>
          <t>UK</t>
        </is>
      </c>
      <c r="E33" s="65" t="inlineStr">
        <is>
          <t>Europe/London (BST)</t>
        </is>
      </c>
      <c r="F33" s="67" t="n">
        <v>5</v>
      </c>
      <c r="G33" s="74" t="inlineStr">
        <is>
          <t>not published</t>
        </is>
      </c>
      <c r="H33" s="65" t="inlineStr">
        <is>
          <t>—</t>
        </is>
      </c>
      <c r="I33" s="74" t="inlineStr">
        <is>
          <t>not published</t>
        </is>
      </c>
      <c r="J33" s="74" t="inlineStr">
        <is>
          <t>verify</t>
        </is>
      </c>
      <c r="K33" s="74" t="inlineStr">
        <is>
          <t>verify</t>
        </is>
      </c>
      <c r="L33" s="65" t="inlineStr">
        <is>
          <t>—</t>
        </is>
      </c>
      <c r="M33" s="74" t="inlineStr">
        <is>
          <t>not published</t>
        </is>
      </c>
      <c r="N33" s="74" t="inlineStr">
        <is>
          <t>not published</t>
        </is>
      </c>
      <c r="O33" s="65" t="inlineStr">
        <is>
          <t>Site form.</t>
        </is>
      </c>
      <c r="P33" s="65" t="inlineStr">
        <is>
          <t>Custom packages; copywriters/analysts (AROA UK roundup)</t>
        </is>
      </c>
      <c r="Q33" s="65" t="inlineStr">
        <is>
          <t>https://aroaagency.com/uk/blog/the-biggest-best-onlyfans-agencies</t>
        </is>
      </c>
      <c r="R33" s="94" t="n">
        <v>3</v>
      </c>
      <c r="S33" s="67" t="n">
        <v>2</v>
      </c>
      <c r="T33" s="67" t="n">
        <v>2</v>
      </c>
      <c r="U33" s="67" t="n">
        <v>3</v>
      </c>
      <c r="V33" s="67" t="n">
        <v>4</v>
      </c>
      <c r="W33" s="67" t="n">
        <v>2</v>
      </c>
      <c r="X33" s="65">
        <f>ROUND((S33*'Scoring Model'!$B$5+T33*'Scoring Model'!$B$6+U33*'Scoring Model'!$B$7+V33*'Scoring Model'!$B$8+W33*'Scoring Model'!$B$9)/5*100,0)</f>
        <v/>
      </c>
      <c r="Y33" s="91">
        <f>INDEX('Scoring Model'!$B$14:$B$17,MATCH(X33,'Scoring Model'!$A$14:$A$17,1))</f>
        <v/>
      </c>
      <c r="Z33" s="92">
        <f>MOD(TIME(9,5,0)-F33/24,1)</f>
        <v/>
      </c>
      <c r="AA33" s="65">
        <f>IF(TIME(9,5,0)-F33/24&lt;0,"previous day (ET)","same day")</f>
        <v/>
      </c>
      <c r="AB33" s="74" t="n"/>
      <c r="AC33" s="65" t="n"/>
      <c r="AD33" s="65" t="inlineStr">
        <is>
          <t>Weekly enlistment — demand evidence</t>
        </is>
      </c>
    </row>
    <row r="34" ht="23.85" customHeight="1" s="55">
      <c r="A34" s="65" t="n">
        <v>33</v>
      </c>
      <c r="B34" s="93" t="inlineStr">
        <is>
          <t>Everlasting Eros / EROS Agency</t>
        </is>
      </c>
      <c r="C34" s="65" t="inlineStr">
        <is>
          <t>London</t>
        </is>
      </c>
      <c r="D34" s="65" t="inlineStr">
        <is>
          <t>UK</t>
        </is>
      </c>
      <c r="E34" s="65" t="inlineStr">
        <is>
          <t>Europe/London (BST)</t>
        </is>
      </c>
      <c r="F34" s="67" t="n">
        <v>5</v>
      </c>
      <c r="G34" s="74" t="inlineStr">
        <is>
          <t>not published</t>
        </is>
      </c>
      <c r="H34" s="65" t="inlineStr">
        <is>
          <t>—</t>
        </is>
      </c>
      <c r="I34" s="74" t="inlineStr">
        <is>
          <t>not published</t>
        </is>
      </c>
      <c r="J34" s="74" t="inlineStr">
        <is>
          <t>verify</t>
        </is>
      </c>
      <c r="K34" s="74" t="inlineStr">
        <is>
          <t>verify</t>
        </is>
      </c>
      <c r="L34" s="65" t="inlineStr">
        <is>
          <t>—</t>
        </is>
      </c>
      <c r="M34" s="74" t="inlineStr">
        <is>
          <t>not published</t>
        </is>
      </c>
      <c r="N34" s="74" t="inlineStr">
        <is>
          <t>not published</t>
        </is>
      </c>
      <c r="O34" s="65" t="inlineStr">
        <is>
          <t>Site form; confirm whether EROS Agency is the same firm.</t>
        </is>
      </c>
      <c r="P34" s="65" t="inlineStr">
        <is>
          <t>Brand-strategy-first positioning</t>
        </is>
      </c>
      <c r="Q34" s="65" t="inlineStr">
        <is>
          <t>https://www.laxir.us/single-post/top-5-best-onlyfans-agencies-management-services</t>
        </is>
      </c>
      <c r="R34" s="94" t="n">
        <v>3</v>
      </c>
      <c r="S34" s="67" t="n">
        <v>2</v>
      </c>
      <c r="T34" s="67" t="n">
        <v>2</v>
      </c>
      <c r="U34" s="67" t="n">
        <v>3</v>
      </c>
      <c r="V34" s="67" t="n">
        <v>4</v>
      </c>
      <c r="W34" s="67" t="n">
        <v>2</v>
      </c>
      <c r="X34" s="65">
        <f>ROUND((S34*'Scoring Model'!$B$5+T34*'Scoring Model'!$B$6+U34*'Scoring Model'!$B$7+V34*'Scoring Model'!$B$8+W34*'Scoring Model'!$B$9)/5*100,0)</f>
        <v/>
      </c>
      <c r="Y34" s="91">
        <f>INDEX('Scoring Model'!$B$14:$B$17,MATCH(X34,'Scoring Model'!$A$14:$A$17,1))</f>
        <v/>
      </c>
      <c r="Z34" s="92">
        <f>MOD(TIME(9,5,0)-F34/24,1)</f>
        <v/>
      </c>
      <c r="AA34" s="65">
        <f>IF(TIME(9,5,0)-F34/24&lt;0,"previous day (ET)","same day")</f>
        <v/>
      </c>
      <c r="AB34" s="74" t="n"/>
      <c r="AC34" s="65" t="n"/>
      <c r="AD34" s="65" t="inlineStr">
        <is>
          <t>Weekly enlistment — demand evidence</t>
        </is>
      </c>
    </row>
    <row r="35" ht="23.85" customHeight="1" s="55">
      <c r="A35" s="65" t="n">
        <v>34</v>
      </c>
      <c r="B35" s="93" t="inlineStr">
        <is>
          <t>20MG (Twenty Management Group)</t>
        </is>
      </c>
      <c r="C35" s="65" t="inlineStr">
        <is>
          <t>USA-registered; serves US/UK/AU/CA</t>
        </is>
      </c>
      <c r="D35" s="65" t="inlineStr">
        <is>
          <t>USA</t>
        </is>
      </c>
      <c r="E35" s="65" t="inlineStr">
        <is>
          <t>America/New_York (assume EDT)</t>
        </is>
      </c>
      <c r="F35" s="67" t="n">
        <v>0</v>
      </c>
      <c r="G35" s="74" t="inlineStr">
        <is>
          <t>not published</t>
        </is>
      </c>
      <c r="H35" s="65" t="inlineStr">
        <is>
          <t>—</t>
        </is>
      </c>
      <c r="I35" s="74" t="inlineStr">
        <is>
          <t>not published</t>
        </is>
      </c>
      <c r="J35" s="65" t="inlineStr">
        <is>
          <t>20mg.co (apply)</t>
        </is>
      </c>
      <c r="K35" s="74" t="inlineStr">
        <is>
          <t>verify</t>
        </is>
      </c>
      <c r="L35" s="65" t="inlineStr">
        <is>
          <t>—</t>
        </is>
      </c>
      <c r="M35" s="74" t="inlineStr">
        <is>
          <t>not published</t>
        </is>
      </c>
      <c r="N35" s="74" t="inlineStr">
        <is>
          <t>not published</t>
        </is>
      </c>
      <c r="O35" s="65" t="inlineStr">
        <is>
          <t>Site form.</t>
        </is>
      </c>
      <c r="P35" s="65" t="inlineStr">
        <is>
          <t>Small deliberate roster; six-figure marketing budgets claim (site)</t>
        </is>
      </c>
      <c r="Q35" s="65" t="inlineStr">
        <is>
          <t>https://20mg.co/</t>
        </is>
      </c>
      <c r="R35" s="94" t="n">
        <v>3</v>
      </c>
      <c r="S35" s="67" t="n">
        <v>2</v>
      </c>
      <c r="T35" s="67" t="n">
        <v>3</v>
      </c>
      <c r="U35" s="67" t="n">
        <v>3</v>
      </c>
      <c r="V35" s="67" t="n">
        <v>4</v>
      </c>
      <c r="W35" s="67" t="n">
        <v>2</v>
      </c>
      <c r="X35" s="65">
        <f>ROUND((S35*'Scoring Model'!$B$5+T35*'Scoring Model'!$B$6+U35*'Scoring Model'!$B$7+V35*'Scoring Model'!$B$8+W35*'Scoring Model'!$B$9)/5*100,0)</f>
        <v/>
      </c>
      <c r="Y35" s="91">
        <f>INDEX('Scoring Model'!$B$14:$B$17,MATCH(X35,'Scoring Model'!$A$14:$A$17,1))</f>
        <v/>
      </c>
      <c r="Z35" s="92">
        <f>MOD(TIME(9,5,0)-F35/24,1)</f>
        <v/>
      </c>
      <c r="AA35" s="65">
        <f>IF(TIME(9,5,0)-F35/24&lt;0,"previous day (ET)","same day")</f>
        <v/>
      </c>
      <c r="AB35" s="74" t="n"/>
      <c r="AC35" s="65" t="inlineStr">
        <is>
          <t>Serves Canada — CASL: no cold email to Canadian contacts; use form/DM.</t>
        </is>
      </c>
      <c r="AD35" s="65" t="inlineStr">
        <is>
          <t>Weekly enlistment — demand evidence</t>
        </is>
      </c>
    </row>
    <row r="36" ht="23.85" customHeight="1" s="55">
      <c r="A36" s="65" t="n">
        <v>35</v>
      </c>
      <c r="B36" s="93" t="inlineStr">
        <is>
          <t>Xcelerate Agency</t>
        </is>
      </c>
      <c r="C36" s="65" t="inlineStr">
        <is>
          <t>Los Angeles</t>
        </is>
      </c>
      <c r="D36" s="65" t="inlineStr">
        <is>
          <t>USA</t>
        </is>
      </c>
      <c r="E36" s="65" t="inlineStr">
        <is>
          <t>America/Los_Angeles (PDT)</t>
        </is>
      </c>
      <c r="F36" s="67" t="n">
        <v>-3</v>
      </c>
      <c r="G36" s="74" t="inlineStr">
        <is>
          <t>not published</t>
        </is>
      </c>
      <c r="H36" s="65" t="inlineStr">
        <is>
          <t>—</t>
        </is>
      </c>
      <c r="I36" s="74" t="inlineStr">
        <is>
          <t>not published</t>
        </is>
      </c>
      <c r="J36" s="65" t="inlineStr">
        <is>
          <t>Supercreator listing → site</t>
        </is>
      </c>
      <c r="K36" s="74" t="inlineStr">
        <is>
          <t>verify</t>
        </is>
      </c>
      <c r="L36" s="65" t="inlineStr">
        <is>
          <t>—</t>
        </is>
      </c>
      <c r="M36" s="74" t="inlineStr">
        <is>
          <t>not published</t>
        </is>
      </c>
      <c r="N36" s="74" t="inlineStr">
        <is>
          <t>not published</t>
        </is>
      </c>
      <c r="O36" s="65" t="inlineStr">
        <is>
          <t>Site form.</t>
        </is>
      </c>
      <c r="P36" s="65" t="inlineStr">
        <is>
          <t>AI + social-media-marketing positioning (Supercreator, verified)</t>
        </is>
      </c>
      <c r="Q36" s="65" t="inlineStr">
        <is>
          <t>https://www.supercreator.app/agencies</t>
        </is>
      </c>
      <c r="R36" s="94" t="n">
        <v>3</v>
      </c>
      <c r="S36" s="67" t="n">
        <v>2</v>
      </c>
      <c r="T36" s="67" t="n">
        <v>3</v>
      </c>
      <c r="U36" s="67" t="n">
        <v>4</v>
      </c>
      <c r="V36" s="67" t="n">
        <v>4</v>
      </c>
      <c r="W36" s="67" t="n">
        <v>2</v>
      </c>
      <c r="X36" s="65">
        <f>ROUND((S36*'Scoring Model'!$B$5+T36*'Scoring Model'!$B$6+U36*'Scoring Model'!$B$7+V36*'Scoring Model'!$B$8+W36*'Scoring Model'!$B$9)/5*100,0)</f>
        <v/>
      </c>
      <c r="Y36" s="91">
        <f>INDEX('Scoring Model'!$B$14:$B$17,MATCH(X36,'Scoring Model'!$A$14:$A$17,1))</f>
        <v/>
      </c>
      <c r="Z36" s="92">
        <f>MOD(TIME(9,5,0)-F36/24,1)</f>
        <v/>
      </c>
      <c r="AA36" s="65">
        <f>IF(TIME(9,5,0)-F36/24&lt;0,"previous day (ET)","same day")</f>
        <v/>
      </c>
      <c r="AB36" s="74" t="n"/>
      <c r="AC36" s="65" t="n"/>
      <c r="AD36" s="65" t="inlineStr">
        <is>
          <t>Weekly enlistment — demand evidence</t>
        </is>
      </c>
    </row>
    <row r="37" ht="23.85" customHeight="1" s="55">
      <c r="A37" s="65" t="n">
        <v>36</v>
      </c>
      <c r="B37" s="93" t="inlineStr">
        <is>
          <t>2TWENTYTWO</t>
        </is>
      </c>
      <c r="C37" s="65" t="inlineStr">
        <is>
          <t>Los Angeles</t>
        </is>
      </c>
      <c r="D37" s="65" t="inlineStr">
        <is>
          <t>USA</t>
        </is>
      </c>
      <c r="E37" s="65" t="inlineStr">
        <is>
          <t>America/Los_Angeles (PDT)</t>
        </is>
      </c>
      <c r="F37" s="67" t="n">
        <v>-3</v>
      </c>
      <c r="G37" s="74" t="inlineStr">
        <is>
          <t>not published</t>
        </is>
      </c>
      <c r="H37" s="65" t="inlineStr">
        <is>
          <t>—</t>
        </is>
      </c>
      <c r="I37" s="74" t="inlineStr">
        <is>
          <t>not published</t>
        </is>
      </c>
      <c r="J37" s="65" t="inlineStr">
        <is>
          <t>Supercreator listing → site</t>
        </is>
      </c>
      <c r="K37" s="74" t="inlineStr">
        <is>
          <t>verify</t>
        </is>
      </c>
      <c r="L37" s="65" t="inlineStr">
        <is>
          <t>—</t>
        </is>
      </c>
      <c r="M37" s="74" t="inlineStr">
        <is>
          <t>not published</t>
        </is>
      </c>
      <c r="N37" s="74" t="inlineStr">
        <is>
          <t>not published</t>
        </is>
      </c>
      <c r="O37" s="65" t="inlineStr">
        <is>
          <t>Site form.</t>
        </is>
      </c>
      <c r="P37" s="65" t="inlineStr">
        <is>
          <t>Boutique, premium chatting (Supercreator, verified)</t>
        </is>
      </c>
      <c r="Q37" s="65" t="inlineStr">
        <is>
          <t>https://www.supercreator.app/agencies</t>
        </is>
      </c>
      <c r="R37" s="94" t="n">
        <v>3</v>
      </c>
      <c r="S37" s="67" t="n">
        <v>2</v>
      </c>
      <c r="T37" s="67" t="n">
        <v>2</v>
      </c>
      <c r="U37" s="67" t="n">
        <v>3</v>
      </c>
      <c r="V37" s="67" t="n">
        <v>4</v>
      </c>
      <c r="W37" s="67" t="n">
        <v>2</v>
      </c>
      <c r="X37" s="65">
        <f>ROUND((S37*'Scoring Model'!$B$5+T37*'Scoring Model'!$B$6+U37*'Scoring Model'!$B$7+V37*'Scoring Model'!$B$8+W37*'Scoring Model'!$B$9)/5*100,0)</f>
        <v/>
      </c>
      <c r="Y37" s="91">
        <f>INDEX('Scoring Model'!$B$14:$B$17,MATCH(X37,'Scoring Model'!$A$14:$A$17,1))</f>
        <v/>
      </c>
      <c r="Z37" s="92">
        <f>MOD(TIME(9,5,0)-F37/24,1)</f>
        <v/>
      </c>
      <c r="AA37" s="65">
        <f>IF(TIME(9,5,0)-F37/24&lt;0,"previous day (ET)","same day")</f>
        <v/>
      </c>
      <c r="AB37" s="74" t="n"/>
      <c r="AC37" s="65" t="n"/>
      <c r="AD37" s="65" t="inlineStr">
        <is>
          <t>Weekly enlistment — demand evidence</t>
        </is>
      </c>
    </row>
    <row r="38" ht="23.85" customHeight="1" s="55">
      <c r="A38" s="65" t="n">
        <v>37</v>
      </c>
      <c r="B38" s="93" t="inlineStr">
        <is>
          <t>WE ARE VERIFIED</t>
        </is>
      </c>
      <c r="C38" s="65" t="inlineStr">
        <is>
          <t>Los Angeles</t>
        </is>
      </c>
      <c r="D38" s="65" t="inlineStr">
        <is>
          <t>USA</t>
        </is>
      </c>
      <c r="E38" s="65" t="inlineStr">
        <is>
          <t>America/Los_Angeles (PDT)</t>
        </is>
      </c>
      <c r="F38" s="67" t="n">
        <v>-3</v>
      </c>
      <c r="G38" s="74" t="inlineStr">
        <is>
          <t>not published</t>
        </is>
      </c>
      <c r="H38" s="65" t="inlineStr">
        <is>
          <t>—</t>
        </is>
      </c>
      <c r="I38" s="74" t="inlineStr">
        <is>
          <t>not published</t>
        </is>
      </c>
      <c r="J38" s="65" t="inlineStr">
        <is>
          <t>Supercreator listing → site</t>
        </is>
      </c>
      <c r="K38" s="74" t="inlineStr">
        <is>
          <t>verify</t>
        </is>
      </c>
      <c r="L38" s="65" t="inlineStr">
        <is>
          <t>—</t>
        </is>
      </c>
      <c r="M38" s="74" t="inlineStr">
        <is>
          <t>not published</t>
        </is>
      </c>
      <c r="N38" s="74" t="inlineStr">
        <is>
          <t>not published</t>
        </is>
      </c>
      <c r="O38" s="65" t="inlineStr">
        <is>
          <t>Site form.</t>
        </is>
      </c>
      <c r="P38" s="65" t="inlineStr">
        <is>
          <t>Talent-first management (Supercreator listing)</t>
        </is>
      </c>
      <c r="Q38" s="65" t="inlineStr">
        <is>
          <t>https://www.supercreator.app/agencies</t>
        </is>
      </c>
      <c r="R38" s="94" t="n">
        <v>3</v>
      </c>
      <c r="S38" s="67" t="n">
        <v>2</v>
      </c>
      <c r="T38" s="67" t="n">
        <v>2</v>
      </c>
      <c r="U38" s="67" t="n">
        <v>3</v>
      </c>
      <c r="V38" s="67" t="n">
        <v>4</v>
      </c>
      <c r="W38" s="67" t="n">
        <v>2</v>
      </c>
      <c r="X38" s="65">
        <f>ROUND((S38*'Scoring Model'!$B$5+T38*'Scoring Model'!$B$6+U38*'Scoring Model'!$B$7+V38*'Scoring Model'!$B$8+W38*'Scoring Model'!$B$9)/5*100,0)</f>
        <v/>
      </c>
      <c r="Y38" s="91">
        <f>INDEX('Scoring Model'!$B$14:$B$17,MATCH(X38,'Scoring Model'!$A$14:$A$17,1))</f>
        <v/>
      </c>
      <c r="Z38" s="92">
        <f>MOD(TIME(9,5,0)-F38/24,1)</f>
        <v/>
      </c>
      <c r="AA38" s="65">
        <f>IF(TIME(9,5,0)-F38/24&lt;0,"previous day (ET)","same day")</f>
        <v/>
      </c>
      <c r="AB38" s="74" t="n"/>
      <c r="AC38" s="65" t="n"/>
      <c r="AD38" s="65" t="inlineStr">
        <is>
          <t>Weekly enlistment — demand evidence</t>
        </is>
      </c>
    </row>
    <row r="39" ht="23.85" customHeight="1" s="55">
      <c r="A39" s="65" t="n">
        <v>38</v>
      </c>
      <c r="B39" s="93" t="inlineStr">
        <is>
          <t>Verge Agency</t>
        </is>
      </c>
      <c r="C39" s="65" t="inlineStr">
        <is>
          <t>verify</t>
        </is>
      </c>
      <c r="D39" s="65" t="inlineStr">
        <is>
          <t>verify</t>
        </is>
      </c>
      <c r="E39" s="65" t="inlineStr">
        <is>
          <t>verify</t>
        </is>
      </c>
      <c r="F39" s="67" t="n">
        <v>0</v>
      </c>
      <c r="G39" s="74" t="inlineStr">
        <is>
          <t>not published</t>
        </is>
      </c>
      <c r="H39" s="65" t="inlineStr">
        <is>
          <t>—</t>
        </is>
      </c>
      <c r="I39" s="74" t="inlineStr">
        <is>
          <t>not published</t>
        </is>
      </c>
      <c r="J39" s="65" t="inlineStr">
        <is>
          <t>Supercreator listing → site</t>
        </is>
      </c>
      <c r="K39" s="74" t="inlineStr">
        <is>
          <t>verify</t>
        </is>
      </c>
      <c r="L39" s="65" t="inlineStr">
        <is>
          <t>—</t>
        </is>
      </c>
      <c r="M39" s="74" t="inlineStr">
        <is>
          <t>not published</t>
        </is>
      </c>
      <c r="N39" s="74" t="inlineStr">
        <is>
          <t>not published</t>
        </is>
      </c>
      <c r="O39" s="65" t="inlineStr">
        <is>
          <t>Site form.</t>
        </is>
      </c>
      <c r="P39" s="65" t="inlineStr">
        <is>
          <t>Models, influencers, celebrities (Supercreator listing)</t>
        </is>
      </c>
      <c r="Q39" s="65" t="inlineStr">
        <is>
          <t>https://www.supercreator.app/agencies</t>
        </is>
      </c>
      <c r="R39" s="94" t="n">
        <v>3</v>
      </c>
      <c r="S39" s="67" t="n">
        <v>3</v>
      </c>
      <c r="T39" s="67" t="n">
        <v>2</v>
      </c>
      <c r="U39" s="67" t="n">
        <v>3</v>
      </c>
      <c r="V39" s="67" t="n">
        <v>4</v>
      </c>
      <c r="W39" s="67" t="n">
        <v>2</v>
      </c>
      <c r="X39" s="65">
        <f>ROUND((S39*'Scoring Model'!$B$5+T39*'Scoring Model'!$B$6+U39*'Scoring Model'!$B$7+V39*'Scoring Model'!$B$8+W39*'Scoring Model'!$B$9)/5*100,0)</f>
        <v/>
      </c>
      <c r="Y39" s="91">
        <f>INDEX('Scoring Model'!$B$14:$B$17,MATCH(X39,'Scoring Model'!$A$14:$A$17,1))</f>
        <v/>
      </c>
      <c r="Z39" s="92">
        <f>MOD(TIME(9,5,0)-F39/24,1)</f>
        <v/>
      </c>
      <c r="AA39" s="65">
        <f>IF(TIME(9,5,0)-F39/24&lt;0,"previous day (ET)","same day")</f>
        <v/>
      </c>
      <c r="AB39" s="74" t="n"/>
      <c r="AC39" s="65" t="n"/>
      <c r="AD39" s="65" t="inlineStr">
        <is>
          <t>Weekly enlistment — demand evidence</t>
        </is>
      </c>
    </row>
    <row r="40" ht="23.85" customHeight="1" s="55">
      <c r="A40" s="65" t="n">
        <v>39</v>
      </c>
      <c r="B40" s="93" t="inlineStr">
        <is>
          <t>OFM (of-management.com)</t>
        </is>
      </c>
      <c r="C40" s="65" t="inlineStr">
        <is>
          <t>Nuremberg, Germany</t>
        </is>
      </c>
      <c r="D40" s="65" t="inlineStr">
        <is>
          <t>Germany</t>
        </is>
      </c>
      <c r="E40" s="65" t="inlineStr">
        <is>
          <t>Europe/Berlin (CEST)</t>
        </is>
      </c>
      <c r="F40" s="67" t="n">
        <v>6</v>
      </c>
      <c r="G40" s="74" t="inlineStr">
        <is>
          <t>Two brothers (names in Impressum — verify)</t>
        </is>
      </c>
      <c r="H40" s="65" t="inlineStr">
        <is>
          <t>Founders</t>
        </is>
      </c>
      <c r="I40" s="74" t="inlineStr">
        <is>
          <t>in Impressum (verify)</t>
        </is>
      </c>
      <c r="J40" s="65" t="inlineStr">
        <is>
          <t>of-management.com</t>
        </is>
      </c>
      <c r="K40" s="74" t="inlineStr">
        <is>
          <t>verify</t>
        </is>
      </c>
      <c r="L40" s="65" t="inlineStr">
        <is>
          <t>—</t>
        </is>
      </c>
      <c r="M40" s="74" t="inlineStr">
        <is>
          <t>in Impressum</t>
        </is>
      </c>
      <c r="N40" s="74" t="inlineStr">
        <is>
          <t>in Impressum</t>
        </is>
      </c>
      <c r="O40" s="65" t="inlineStr">
        <is>
          <t>Impressum.</t>
        </is>
      </c>
      <c r="P40" s="65" t="inlineStr">
        <is>
          <t>Ex-B2B social agency turned OFM (site)</t>
        </is>
      </c>
      <c r="Q40" s="65" t="inlineStr">
        <is>
          <t>https://www.of-management.com/</t>
        </is>
      </c>
      <c r="R40" s="94" t="n">
        <v>3</v>
      </c>
      <c r="S40" s="67" t="n">
        <v>2</v>
      </c>
      <c r="T40" s="67" t="n">
        <v>4</v>
      </c>
      <c r="U40" s="67" t="n">
        <v>3</v>
      </c>
      <c r="V40" s="67" t="n">
        <v>4</v>
      </c>
      <c r="W40" s="67" t="n">
        <v>2</v>
      </c>
      <c r="X40" s="65">
        <f>ROUND((S40*'Scoring Model'!$B$5+T40*'Scoring Model'!$B$6+U40*'Scoring Model'!$B$7+V40*'Scoring Model'!$B$8+W40*'Scoring Model'!$B$9)/5*100,0)</f>
        <v/>
      </c>
      <c r="Y40" s="91">
        <f>INDEX('Scoring Model'!$B$14:$B$17,MATCH(X40,'Scoring Model'!$A$14:$A$17,1))</f>
        <v/>
      </c>
      <c r="Z40" s="92">
        <f>MOD(TIME(9,5,0)-F40/24,1)</f>
        <v/>
      </c>
      <c r="AA40" s="65">
        <f>IF(TIME(9,5,0)-F40/24&lt;0,"previous day (ET)","same day")</f>
        <v/>
      </c>
      <c r="AB40" s="74" t="n"/>
      <c r="AC40" s="65" t="inlineStr">
        <is>
          <t>B2B-marketing roots — will read an EV model.</t>
        </is>
      </c>
      <c r="AD40" s="65" t="inlineStr">
        <is>
          <t>Weekly enlistment — demand evidence</t>
        </is>
      </c>
    </row>
    <row r="41" ht="23.85" customHeight="1" s="55">
      <c r="A41" s="65" t="n">
        <v>40</v>
      </c>
      <c r="B41" s="93" t="inlineStr">
        <is>
          <t>Adler Agency</t>
        </is>
      </c>
      <c r="C41" s="65" t="inlineStr">
        <is>
          <t>Germany (DACH, since 2024)</t>
        </is>
      </c>
      <c r="D41" s="65" t="inlineStr">
        <is>
          <t>Germany</t>
        </is>
      </c>
      <c r="E41" s="65" t="inlineStr">
        <is>
          <t>Europe/Berlin (CEST)</t>
        </is>
      </c>
      <c r="F41" s="67" t="n">
        <v>6</v>
      </c>
      <c r="G41" s="74" t="inlineStr">
        <is>
          <t>Impressum (verify)</t>
        </is>
      </c>
      <c r="H41" s="65" t="inlineStr">
        <is>
          <t>—</t>
        </is>
      </c>
      <c r="I41" s="74" t="inlineStr">
        <is>
          <t>in Impressum (verify)</t>
        </is>
      </c>
      <c r="J41" s="65" t="inlineStr">
        <is>
          <t>adleragency.de</t>
        </is>
      </c>
      <c r="K41" s="74" t="inlineStr">
        <is>
          <t>verify</t>
        </is>
      </c>
      <c r="L41" s="65" t="inlineStr">
        <is>
          <t>—</t>
        </is>
      </c>
      <c r="M41" s="74" t="inlineStr">
        <is>
          <t>in Impressum</t>
        </is>
      </c>
      <c r="N41" s="74" t="inlineStr">
        <is>
          <t>in Impressum</t>
        </is>
      </c>
      <c r="O41" s="65" t="inlineStr">
        <is>
          <t>Impressum.</t>
        </is>
      </c>
      <c r="P41" s="65" t="inlineStr">
        <is>
          <t>Selected models and agencies in DACH + worldwide (site)</t>
        </is>
      </c>
      <c r="Q41" s="65" t="inlineStr">
        <is>
          <t>https://www.adleragency.de/en</t>
        </is>
      </c>
      <c r="R41" s="94" t="n">
        <v>3</v>
      </c>
      <c r="S41" s="67" t="n">
        <v>2</v>
      </c>
      <c r="T41" s="67" t="n">
        <v>4</v>
      </c>
      <c r="U41" s="67" t="n">
        <v>3</v>
      </c>
      <c r="V41" s="67" t="n">
        <v>4</v>
      </c>
      <c r="W41" s="67" t="n">
        <v>2</v>
      </c>
      <c r="X41" s="65">
        <f>ROUND((S41*'Scoring Model'!$B$5+T41*'Scoring Model'!$B$6+U41*'Scoring Model'!$B$7+V41*'Scoring Model'!$B$8+W41*'Scoring Model'!$B$9)/5*100,0)</f>
        <v/>
      </c>
      <c r="Y41" s="91">
        <f>INDEX('Scoring Model'!$B$14:$B$17,MATCH(X41,'Scoring Model'!$A$14:$A$17,1))</f>
        <v/>
      </c>
      <c r="Z41" s="92">
        <f>MOD(TIME(9,5,0)-F41/24,1)</f>
        <v/>
      </c>
      <c r="AA41" s="65">
        <f>IF(TIME(9,5,0)-F41/24&lt;0,"previous day (ET)","same day")</f>
        <v/>
      </c>
      <c r="AB41" s="74" t="n"/>
      <c r="AC41" s="65" t="inlineStr">
        <is>
          <t>Works with other agencies — possible sub-network.</t>
        </is>
      </c>
      <c r="AD41" s="65" t="inlineStr">
        <is>
          <t>Weekly enlistment — demand evidence</t>
        </is>
      </c>
    </row>
    <row r="42" ht="23.85" customHeight="1" s="55">
      <c r="A42" s="65" t="n">
        <v>41</v>
      </c>
      <c r="B42" s="93" t="inlineStr">
        <is>
          <t>FameGrowth</t>
        </is>
      </c>
      <c r="C42" s="65" t="inlineStr">
        <is>
          <t>Germany</t>
        </is>
      </c>
      <c r="D42" s="65" t="inlineStr">
        <is>
          <t>Germany</t>
        </is>
      </c>
      <c r="E42" s="65" t="inlineStr">
        <is>
          <t>Europe/Berlin (CEST)</t>
        </is>
      </c>
      <c r="F42" s="67" t="n">
        <v>6</v>
      </c>
      <c r="G42" s="74" t="inlineStr">
        <is>
          <t>Impressum (verify)</t>
        </is>
      </c>
      <c r="H42" s="65" t="inlineStr">
        <is>
          <t>—</t>
        </is>
      </c>
      <c r="I42" s="74" t="inlineStr">
        <is>
          <t>in Impressum (verify)</t>
        </is>
      </c>
      <c r="J42" s="65" t="inlineStr">
        <is>
          <t>famegrowth.de</t>
        </is>
      </c>
      <c r="K42" s="74" t="inlineStr">
        <is>
          <t>verify</t>
        </is>
      </c>
      <c r="L42" s="65" t="inlineStr">
        <is>
          <t>—</t>
        </is>
      </c>
      <c r="M42" s="74" t="inlineStr">
        <is>
          <t>in Impressum</t>
        </is>
      </c>
      <c r="N42" s="74" t="inlineStr">
        <is>
          <t>in Impressum</t>
        </is>
      </c>
      <c r="O42" s="65" t="inlineStr">
        <is>
          <t>Impressum.</t>
        </is>
      </c>
      <c r="P42" s="65" t="inlineStr">
        <is>
          <t>8+ yrs experience claim (site)</t>
        </is>
      </c>
      <c r="Q42" s="65" t="inlineStr">
        <is>
          <t>https://famegrowth.de/en</t>
        </is>
      </c>
      <c r="R42" s="94" t="n">
        <v>3</v>
      </c>
      <c r="S42" s="67" t="n">
        <v>2</v>
      </c>
      <c r="T42" s="67" t="n">
        <v>4</v>
      </c>
      <c r="U42" s="67" t="n">
        <v>3</v>
      </c>
      <c r="V42" s="67" t="n">
        <v>4</v>
      </c>
      <c r="W42" s="67" t="n">
        <v>2</v>
      </c>
      <c r="X42" s="65">
        <f>ROUND((S42*'Scoring Model'!$B$5+T42*'Scoring Model'!$B$6+U42*'Scoring Model'!$B$7+V42*'Scoring Model'!$B$8+W42*'Scoring Model'!$B$9)/5*100,0)</f>
        <v/>
      </c>
      <c r="Y42" s="91">
        <f>INDEX('Scoring Model'!$B$14:$B$17,MATCH(X42,'Scoring Model'!$A$14:$A$17,1))</f>
        <v/>
      </c>
      <c r="Z42" s="92">
        <f>MOD(TIME(9,5,0)-F42/24,1)</f>
        <v/>
      </c>
      <c r="AA42" s="65">
        <f>IF(TIME(9,5,0)-F42/24&lt;0,"previous day (ET)","same day")</f>
        <v/>
      </c>
      <c r="AB42" s="74" t="n"/>
      <c r="AC42" s="65" t="n"/>
      <c r="AD42" s="65" t="inlineStr">
        <is>
          <t>Weekly enlistment — demand evidence</t>
        </is>
      </c>
    </row>
    <row r="43" ht="23.85" customHeight="1" s="55">
      <c r="A43" s="65" t="n">
        <v>42</v>
      </c>
      <c r="B43" s="93" t="inlineStr">
        <is>
          <t>MAHO Management</t>
        </is>
      </c>
      <c r="C43" s="65" t="inlineStr">
        <is>
          <t>DACH</t>
        </is>
      </c>
      <c r="D43" s="65" t="inlineStr">
        <is>
          <t>Germany</t>
        </is>
      </c>
      <c r="E43" s="65" t="inlineStr">
        <is>
          <t>Europe/Berlin (CEST)</t>
        </is>
      </c>
      <c r="F43" s="67" t="n">
        <v>6</v>
      </c>
      <c r="G43" s="74" t="inlineStr">
        <is>
          <t>Impressum (verify)</t>
        </is>
      </c>
      <c r="H43" s="65" t="inlineStr">
        <is>
          <t>—</t>
        </is>
      </c>
      <c r="I43" s="74" t="inlineStr">
        <is>
          <t>in Impressum (verify)</t>
        </is>
      </c>
      <c r="J43" s="65" t="inlineStr">
        <is>
          <t>maho-management.com</t>
        </is>
      </c>
      <c r="K43" s="74" t="inlineStr">
        <is>
          <t>verify</t>
        </is>
      </c>
      <c r="L43" s="65" t="inlineStr">
        <is>
          <t>—</t>
        </is>
      </c>
      <c r="M43" s="74" t="inlineStr">
        <is>
          <t>in Impressum</t>
        </is>
      </c>
      <c r="N43" s="74" t="inlineStr">
        <is>
          <t>in Impressum</t>
        </is>
      </c>
      <c r="O43" s="65" t="inlineStr">
        <is>
          <t>Impressum.</t>
        </is>
      </c>
      <c r="P43" s="65" t="inlineStr">
        <is>
          <t>Brand management + Instagram/TikTok/Twitch promo (site)</t>
        </is>
      </c>
      <c r="Q43" s="65" t="inlineStr">
        <is>
          <t>https://maho-management.com/en/</t>
        </is>
      </c>
      <c r="R43" s="94" t="n">
        <v>3</v>
      </c>
      <c r="S43" s="67" t="n">
        <v>2</v>
      </c>
      <c r="T43" s="67" t="n">
        <v>4</v>
      </c>
      <c r="U43" s="67" t="n">
        <v>4</v>
      </c>
      <c r="V43" s="67" t="n">
        <v>4</v>
      </c>
      <c r="W43" s="67" t="n">
        <v>2</v>
      </c>
      <c r="X43" s="65">
        <f>ROUND((S43*'Scoring Model'!$B$5+T43*'Scoring Model'!$B$6+U43*'Scoring Model'!$B$7+V43*'Scoring Model'!$B$8+W43*'Scoring Model'!$B$9)/5*100,0)</f>
        <v/>
      </c>
      <c r="Y43" s="91">
        <f>INDEX('Scoring Model'!$B$14:$B$17,MATCH(X43,'Scoring Model'!$A$14:$A$17,1))</f>
        <v/>
      </c>
      <c r="Z43" s="92">
        <f>MOD(TIME(9,5,0)-F43/24,1)</f>
        <v/>
      </c>
      <c r="AA43" s="65">
        <f>IF(TIME(9,5,0)-F43/24&lt;0,"previous day (ET)","same day")</f>
        <v/>
      </c>
      <c r="AB43" s="74" t="n"/>
      <c r="AC43" s="65" t="inlineStr">
        <is>
          <t>Twitch/streamer crossover — gaming-literate roster.</t>
        </is>
      </c>
      <c r="AD43" s="65" t="inlineStr">
        <is>
          <t>Weekly enlistment — demand evidence</t>
        </is>
      </c>
    </row>
    <row r="44" ht="23.85" customHeight="1" s="55">
      <c r="A44" s="65" t="n">
        <v>43</v>
      </c>
      <c r="B44" s="93" t="inlineStr">
        <is>
          <t>FEM Management</t>
        </is>
      </c>
      <c r="C44" s="65" t="inlineStr">
        <is>
          <t>DACH</t>
        </is>
      </c>
      <c r="D44" s="65" t="inlineStr">
        <is>
          <t>Germany</t>
        </is>
      </c>
      <c r="E44" s="65" t="inlineStr">
        <is>
          <t>Europe/Berlin (CEST)</t>
        </is>
      </c>
      <c r="F44" s="67" t="n">
        <v>6</v>
      </c>
      <c r="G44" s="74" t="inlineStr">
        <is>
          <t>Impressum (verify)</t>
        </is>
      </c>
      <c r="H44" s="65" t="inlineStr">
        <is>
          <t>—</t>
        </is>
      </c>
      <c r="I44" s="74" t="inlineStr">
        <is>
          <t>in Impressum (verify)</t>
        </is>
      </c>
      <c r="J44" s="65" t="inlineStr">
        <is>
          <t>fem-management.com</t>
        </is>
      </c>
      <c r="K44" s="74" t="inlineStr">
        <is>
          <t>verify</t>
        </is>
      </c>
      <c r="L44" s="65" t="inlineStr">
        <is>
          <t>—</t>
        </is>
      </c>
      <c r="M44" s="74" t="inlineStr">
        <is>
          <t>in Impressum</t>
        </is>
      </c>
      <c r="N44" s="74" t="inlineStr">
        <is>
          <t>in Impressum</t>
        </is>
      </c>
      <c r="O44" s="65" t="inlineStr">
        <is>
          <t>Impressum.</t>
        </is>
      </c>
      <c r="P44" s="65" t="inlineStr">
        <is>
          <t>24/7 DE/EN chat teams; leak protection (site)</t>
        </is>
      </c>
      <c r="Q44" s="65" t="inlineStr">
        <is>
          <t>https://www.fem-management.com/</t>
        </is>
      </c>
      <c r="R44" s="94" t="n">
        <v>3</v>
      </c>
      <c r="S44" s="67" t="n">
        <v>2</v>
      </c>
      <c r="T44" s="67" t="n">
        <v>4</v>
      </c>
      <c r="U44" s="67" t="n">
        <v>3</v>
      </c>
      <c r="V44" s="67" t="n">
        <v>4</v>
      </c>
      <c r="W44" s="67" t="n">
        <v>2</v>
      </c>
      <c r="X44" s="65">
        <f>ROUND((S44*'Scoring Model'!$B$5+T44*'Scoring Model'!$B$6+U44*'Scoring Model'!$B$7+V44*'Scoring Model'!$B$8+W44*'Scoring Model'!$B$9)/5*100,0)</f>
        <v/>
      </c>
      <c r="Y44" s="91">
        <f>INDEX('Scoring Model'!$B$14:$B$17,MATCH(X44,'Scoring Model'!$A$14:$A$17,1))</f>
        <v/>
      </c>
      <c r="Z44" s="92">
        <f>MOD(TIME(9,5,0)-F44/24,1)</f>
        <v/>
      </c>
      <c r="AA44" s="65">
        <f>IF(TIME(9,5,0)-F44/24&lt;0,"previous day (ET)","same day")</f>
        <v/>
      </c>
      <c r="AB44" s="74" t="n"/>
      <c r="AC44" s="65" t="n"/>
      <c r="AD44" s="65" t="inlineStr">
        <is>
          <t>Weekly enlistment — demand evidence</t>
        </is>
      </c>
    </row>
    <row r="45" ht="23.85" customHeight="1" s="55">
      <c r="A45" s="65" t="n">
        <v>44</v>
      </c>
      <c r="B45" s="93" t="inlineStr">
        <is>
          <t>Die OnlyFans Agentur</t>
        </is>
      </c>
      <c r="C45" s="65" t="inlineStr">
        <is>
          <t>Germany</t>
        </is>
      </c>
      <c r="D45" s="65" t="inlineStr">
        <is>
          <t>Germany</t>
        </is>
      </c>
      <c r="E45" s="65" t="inlineStr">
        <is>
          <t>Europe/Berlin (CEST)</t>
        </is>
      </c>
      <c r="F45" s="67" t="n">
        <v>6</v>
      </c>
      <c r="G45" s="74" t="inlineStr">
        <is>
          <t>Impressum (verify)</t>
        </is>
      </c>
      <c r="H45" s="65" t="inlineStr">
        <is>
          <t>—</t>
        </is>
      </c>
      <c r="I45" s="74" t="inlineStr">
        <is>
          <t>in Impressum (verify)</t>
        </is>
      </c>
      <c r="J45" s="65" t="inlineStr">
        <is>
          <t>die-onlyfans-agentur.de</t>
        </is>
      </c>
      <c r="K45" s="74" t="inlineStr">
        <is>
          <t>verify</t>
        </is>
      </c>
      <c r="L45" s="65" t="inlineStr">
        <is>
          <t>—</t>
        </is>
      </c>
      <c r="M45" s="74" t="inlineStr">
        <is>
          <t>in Impressum</t>
        </is>
      </c>
      <c r="N45" s="74" t="inlineStr">
        <is>
          <t>in Impressum</t>
        </is>
      </c>
      <c r="O45" s="65" t="inlineStr">
        <is>
          <t>Impressum.</t>
        </is>
      </c>
      <c r="P45" s="65" t="inlineStr">
        <is>
          <t>—</t>
        </is>
      </c>
      <c r="Q45" s="65" t="inlineStr">
        <is>
          <t>https://www.die-onlyfans-agentur.de/</t>
        </is>
      </c>
      <c r="R45" s="94" t="n">
        <v>3</v>
      </c>
      <c r="S45" s="67" t="n">
        <v>2</v>
      </c>
      <c r="T45" s="67" t="n">
        <v>4</v>
      </c>
      <c r="U45" s="67" t="n">
        <v>3</v>
      </c>
      <c r="V45" s="67" t="n">
        <v>3</v>
      </c>
      <c r="W45" s="67" t="n">
        <v>2</v>
      </c>
      <c r="X45" s="65">
        <f>ROUND((S45*'Scoring Model'!$B$5+T45*'Scoring Model'!$B$6+U45*'Scoring Model'!$B$7+V45*'Scoring Model'!$B$8+W45*'Scoring Model'!$B$9)/5*100,0)</f>
        <v/>
      </c>
      <c r="Y45" s="91">
        <f>INDEX('Scoring Model'!$B$14:$B$17,MATCH(X45,'Scoring Model'!$A$14:$A$17,1))</f>
        <v/>
      </c>
      <c r="Z45" s="92">
        <f>MOD(TIME(9,5,0)-F45/24,1)</f>
        <v/>
      </c>
      <c r="AA45" s="65">
        <f>IF(TIME(9,5,0)-F45/24&lt;0,"previous day (ET)","same day")</f>
        <v/>
      </c>
      <c r="AB45" s="74" t="n"/>
      <c r="AC45" s="65" t="n"/>
      <c r="AD45" s="65" t="inlineStr">
        <is>
          <t>Weekly enlistment — demand evidence</t>
        </is>
      </c>
    </row>
    <row r="46" ht="23.85" customHeight="1" s="55">
      <c r="A46" s="65" t="n">
        <v>45</v>
      </c>
      <c r="B46" s="93" t="inlineStr">
        <is>
          <t>Prosper Talent Management</t>
        </is>
      </c>
      <c r="C46" s="65" t="inlineStr">
        <is>
          <t>Australia</t>
        </is>
      </c>
      <c r="D46" s="65" t="inlineStr">
        <is>
          <t>Australia</t>
        </is>
      </c>
      <c r="E46" s="65" t="inlineStr">
        <is>
          <t>Australia/Sydney (AEST→AEDT Oct 4)</t>
        </is>
      </c>
      <c r="F46" s="67" t="n">
        <v>14</v>
      </c>
      <c r="G46" s="74" t="inlineStr">
        <is>
          <t>not published</t>
        </is>
      </c>
      <c r="H46" s="65" t="inlineStr">
        <is>
          <t>—</t>
        </is>
      </c>
      <c r="I46" s="74" t="inlineStr">
        <is>
          <t>not published</t>
        </is>
      </c>
      <c r="J46" s="65" t="inlineStr">
        <is>
          <t>prospermanagement.com.au</t>
        </is>
      </c>
      <c r="K46" s="74" t="inlineStr">
        <is>
          <t>verify</t>
        </is>
      </c>
      <c r="L46" s="65" t="inlineStr">
        <is>
          <t>—</t>
        </is>
      </c>
      <c r="M46" s="74" t="inlineStr">
        <is>
          <t>not published</t>
        </is>
      </c>
      <c r="N46" s="74" t="inlineStr">
        <is>
          <t>not published</t>
        </is>
      </c>
      <c r="O46" s="65" t="inlineStr">
        <is>
          <t>Site form; ABN Lookup.</t>
        </is>
      </c>
      <c r="P46" s="65" t="inlineStr">
        <is>
          <t>Performance-driven; hiring chat/ops staff (site)</t>
        </is>
      </c>
      <c r="Q46" s="65" t="inlineStr">
        <is>
          <t>https://www.prospermanagement.com.au/</t>
        </is>
      </c>
      <c r="R46" s="94" t="n">
        <v>3</v>
      </c>
      <c r="S46" s="67" t="n">
        <v>2</v>
      </c>
      <c r="T46" s="67" t="n">
        <v>3</v>
      </c>
      <c r="U46" s="67" t="n">
        <v>3</v>
      </c>
      <c r="V46" s="67" t="n">
        <v>4</v>
      </c>
      <c r="W46" s="67" t="n">
        <v>2</v>
      </c>
      <c r="X46" s="65">
        <f>ROUND((S46*'Scoring Model'!$B$5+T46*'Scoring Model'!$B$6+U46*'Scoring Model'!$B$7+V46*'Scoring Model'!$B$8+W46*'Scoring Model'!$B$9)/5*100,0)</f>
        <v/>
      </c>
      <c r="Y46" s="91">
        <f>INDEX('Scoring Model'!$B$14:$B$17,MATCH(X46,'Scoring Model'!$A$14:$A$17,1))</f>
        <v/>
      </c>
      <c r="Z46" s="92">
        <f>MOD(TIME(9,5,0)-F46/24,1)</f>
        <v/>
      </c>
      <c r="AA46" s="65">
        <f>IF(TIME(9,5,0)-F46/24&lt;0,"previous day (ET)","same day")</f>
        <v/>
      </c>
      <c r="AB46" s="74" t="n"/>
      <c r="AC46" s="65" t="n"/>
      <c r="AD46" s="65" t="inlineStr">
        <is>
          <t>Weekly enlistment — demand evidence</t>
        </is>
      </c>
    </row>
    <row r="47" ht="23.85" customHeight="1" s="55">
      <c r="A47" s="65" t="n">
        <v>46</v>
      </c>
      <c r="B47" s="93" t="inlineStr">
        <is>
          <t>Flair Management</t>
        </is>
      </c>
      <c r="C47" s="65" t="inlineStr">
        <is>
          <t>Sydney</t>
        </is>
      </c>
      <c r="D47" s="65" t="inlineStr">
        <is>
          <t>Australia</t>
        </is>
      </c>
      <c r="E47" s="65" t="inlineStr">
        <is>
          <t>Australia/Sydney (AEST→AEDT Oct 4)</t>
        </is>
      </c>
      <c r="F47" s="67" t="n">
        <v>14</v>
      </c>
      <c r="G47" s="74" t="inlineStr">
        <is>
          <t>not published</t>
        </is>
      </c>
      <c r="H47" s="65" t="inlineStr">
        <is>
          <t>—</t>
        </is>
      </c>
      <c r="I47" s="74" t="inlineStr">
        <is>
          <t>not published</t>
        </is>
      </c>
      <c r="J47" s="65" t="inlineStr">
        <is>
          <t>flair-management.com</t>
        </is>
      </c>
      <c r="K47" s="74" t="inlineStr">
        <is>
          <t>verify</t>
        </is>
      </c>
      <c r="L47" s="65" t="inlineStr">
        <is>
          <t>—</t>
        </is>
      </c>
      <c r="M47" s="74" t="inlineStr">
        <is>
          <t>not published</t>
        </is>
      </c>
      <c r="N47" s="74" t="inlineStr">
        <is>
          <t>not published</t>
        </is>
      </c>
      <c r="O47" s="65" t="inlineStr">
        <is>
          <t>Site form.</t>
        </is>
      </c>
      <c r="P47" s="65" t="inlineStr">
        <is>
          <t>—</t>
        </is>
      </c>
      <c r="Q47" s="65" t="inlineStr">
        <is>
          <t>https://flair-management.com/</t>
        </is>
      </c>
      <c r="R47" s="94" t="n">
        <v>3</v>
      </c>
      <c r="S47" s="67" t="n">
        <v>2</v>
      </c>
      <c r="T47" s="67" t="n">
        <v>3</v>
      </c>
      <c r="U47" s="67" t="n">
        <v>3</v>
      </c>
      <c r="V47" s="67" t="n">
        <v>4</v>
      </c>
      <c r="W47" s="67" t="n">
        <v>2</v>
      </c>
      <c r="X47" s="65">
        <f>ROUND((S47*'Scoring Model'!$B$5+T47*'Scoring Model'!$B$6+U47*'Scoring Model'!$B$7+V47*'Scoring Model'!$B$8+W47*'Scoring Model'!$B$9)/5*100,0)</f>
        <v/>
      </c>
      <c r="Y47" s="91">
        <f>INDEX('Scoring Model'!$B$14:$B$17,MATCH(X47,'Scoring Model'!$A$14:$A$17,1))</f>
        <v/>
      </c>
      <c r="Z47" s="92">
        <f>MOD(TIME(9,5,0)-F47/24,1)</f>
        <v/>
      </c>
      <c r="AA47" s="65">
        <f>IF(TIME(9,5,0)-F47/24&lt;0,"previous day (ET)","same day")</f>
        <v/>
      </c>
      <c r="AB47" s="74" t="n"/>
      <c r="AC47" s="65" t="n"/>
      <c r="AD47" s="65" t="inlineStr">
        <is>
          <t>Weekly enlistment — demand evidence</t>
        </is>
      </c>
    </row>
    <row r="48" ht="23.85" customHeight="1" s="55">
      <c r="A48" s="65" t="n">
        <v>47</v>
      </c>
      <c r="B48" s="93" t="inlineStr">
        <is>
          <t>Nest Talent Pty Ltd</t>
        </is>
      </c>
      <c r="C48" s="65" t="inlineStr">
        <is>
          <t>Brisbane</t>
        </is>
      </c>
      <c r="D48" s="65" t="inlineStr">
        <is>
          <t>Australia</t>
        </is>
      </c>
      <c r="E48" s="65" t="inlineStr">
        <is>
          <t>Australia/Brisbane (AEST, no DST)</t>
        </is>
      </c>
      <c r="F48" s="67" t="n">
        <v>14</v>
      </c>
      <c r="G48" s="74" t="inlineStr">
        <is>
          <t>not published</t>
        </is>
      </c>
      <c r="H48" s="65" t="inlineStr">
        <is>
          <t>—</t>
        </is>
      </c>
      <c r="I48" s="74" t="inlineStr">
        <is>
          <t>not published</t>
        </is>
      </c>
      <c r="J48" s="65" t="inlineStr">
        <is>
          <t>nesttalent.com</t>
        </is>
      </c>
      <c r="K48" s="74" t="inlineStr">
        <is>
          <t>verify</t>
        </is>
      </c>
      <c r="L48" s="65" t="inlineStr">
        <is>
          <t>—</t>
        </is>
      </c>
      <c r="M48" s="74" t="inlineStr">
        <is>
          <t>not published</t>
        </is>
      </c>
      <c r="N48" s="74" t="inlineStr">
        <is>
          <t>not published</t>
        </is>
      </c>
      <c r="O48" s="65" t="inlineStr">
        <is>
          <t>Site form; ASIC/ABN for Pty Ltd officers.</t>
        </is>
      </c>
      <c r="P48" s="65" t="inlineStr">
        <is>
          <t>Registered company; performance-based offer (site)</t>
        </is>
      </c>
      <c r="Q48" s="65" t="inlineStr">
        <is>
          <t>https://www.nesttalent.com/</t>
        </is>
      </c>
      <c r="R48" s="94" t="n">
        <v>3</v>
      </c>
      <c r="S48" s="67" t="n">
        <v>2</v>
      </c>
      <c r="T48" s="67" t="n">
        <v>3</v>
      </c>
      <c r="U48" s="67" t="n">
        <v>3</v>
      </c>
      <c r="V48" s="67" t="n">
        <v>4</v>
      </c>
      <c r="W48" s="67" t="n">
        <v>2</v>
      </c>
      <c r="X48" s="65">
        <f>ROUND((S48*'Scoring Model'!$B$5+T48*'Scoring Model'!$B$6+U48*'Scoring Model'!$B$7+V48*'Scoring Model'!$B$8+W48*'Scoring Model'!$B$9)/5*100,0)</f>
        <v/>
      </c>
      <c r="Y48" s="91">
        <f>INDEX('Scoring Model'!$B$14:$B$17,MATCH(X48,'Scoring Model'!$A$14:$A$17,1))</f>
        <v/>
      </c>
      <c r="Z48" s="92">
        <f>MOD(TIME(9,5,0)-F48/24,1)</f>
        <v/>
      </c>
      <c r="AA48" s="65">
        <f>IF(TIME(9,5,0)-F48/24&lt;0,"previous day (ET)","same day")</f>
        <v/>
      </c>
      <c r="AB48" s="74" t="n"/>
      <c r="AC48" s="65" t="n"/>
      <c r="AD48" s="65" t="inlineStr">
        <is>
          <t>Weekly enlistment — demand evidence</t>
        </is>
      </c>
    </row>
    <row r="49" ht="23.85" customHeight="1" s="55">
      <c r="A49" s="65" t="n">
        <v>48</v>
      </c>
      <c r="B49" s="93" t="inlineStr">
        <is>
          <t>Aura Management</t>
        </is>
      </c>
      <c r="C49" s="65" t="inlineStr">
        <is>
          <t>Australia</t>
        </is>
      </c>
      <c r="D49" s="65" t="inlineStr">
        <is>
          <t>Australia</t>
        </is>
      </c>
      <c r="E49" s="65" t="inlineStr">
        <is>
          <t>Australia/Sydney (AEST→AEDT Oct 4)</t>
        </is>
      </c>
      <c r="F49" s="67" t="n">
        <v>14</v>
      </c>
      <c r="G49" s="74" t="inlineStr">
        <is>
          <t>not published</t>
        </is>
      </c>
      <c r="H49" s="65" t="inlineStr">
        <is>
          <t>—</t>
        </is>
      </c>
      <c r="I49" s="74" t="inlineStr">
        <is>
          <t>not published</t>
        </is>
      </c>
      <c r="J49" s="65" t="inlineStr">
        <is>
          <t>auramgmt.com.au</t>
        </is>
      </c>
      <c r="K49" s="74" t="inlineStr">
        <is>
          <t>verify</t>
        </is>
      </c>
      <c r="L49" s="65" t="inlineStr">
        <is>
          <t>—</t>
        </is>
      </c>
      <c r="M49" s="74" t="inlineStr">
        <is>
          <t>not published</t>
        </is>
      </c>
      <c r="N49" s="74" t="inlineStr">
        <is>
          <t>not published</t>
        </is>
      </c>
      <c r="O49" s="65" t="inlineStr">
        <is>
          <t>Site form.</t>
        </is>
      </c>
      <c r="P49" s="65" t="inlineStr">
        <is>
          <t>Traditional talent-management ethos; also non-female creators (site)</t>
        </is>
      </c>
      <c r="Q49" s="65" t="inlineStr">
        <is>
          <t>https://www.auramgmt.com.au/</t>
        </is>
      </c>
      <c r="R49" s="94" t="n">
        <v>3</v>
      </c>
      <c r="S49" s="67" t="n">
        <v>2</v>
      </c>
      <c r="T49" s="67" t="n">
        <v>3</v>
      </c>
      <c r="U49" s="67" t="n">
        <v>3</v>
      </c>
      <c r="V49" s="67" t="n">
        <v>4</v>
      </c>
      <c r="W49" s="67" t="n">
        <v>2</v>
      </c>
      <c r="X49" s="65">
        <f>ROUND((S49*'Scoring Model'!$B$5+T49*'Scoring Model'!$B$6+U49*'Scoring Model'!$B$7+V49*'Scoring Model'!$B$8+W49*'Scoring Model'!$B$9)/5*100,0)</f>
        <v/>
      </c>
      <c r="Y49" s="91">
        <f>INDEX('Scoring Model'!$B$14:$B$17,MATCH(X49,'Scoring Model'!$A$14:$A$17,1))</f>
        <v/>
      </c>
      <c r="Z49" s="92">
        <f>MOD(TIME(9,5,0)-F49/24,1)</f>
        <v/>
      </c>
      <c r="AA49" s="65">
        <f>IF(TIME(9,5,0)-F49/24&lt;0,"previous day (ET)","same day")</f>
        <v/>
      </c>
      <c r="AB49" s="74" t="n"/>
      <c r="AC49" s="65" t="n"/>
      <c r="AD49" s="65" t="inlineStr">
        <is>
          <t>Weekly enlistment — demand evidence</t>
        </is>
      </c>
    </row>
    <row r="50" ht="23.85" customHeight="1" s="55">
      <c r="A50" s="65" t="n">
        <v>49</v>
      </c>
      <c r="B50" s="93" t="inlineStr">
        <is>
          <t>OFM Models (ofmmodels.com)</t>
        </is>
      </c>
      <c r="C50" s="65" t="inlineStr">
        <is>
          <t>verify (Telegram-first)</t>
        </is>
      </c>
      <c r="D50" s="65" t="inlineStr">
        <is>
          <t>verify</t>
        </is>
      </c>
      <c r="E50" s="65" t="inlineStr">
        <is>
          <t>verify</t>
        </is>
      </c>
      <c r="F50" s="67" t="n">
        <v>6</v>
      </c>
      <c r="G50" s="74" t="inlineStr">
        <is>
          <t>not published</t>
        </is>
      </c>
      <c r="H50" s="65" t="inlineStr">
        <is>
          <t>—</t>
        </is>
      </c>
      <c r="I50" s="74" t="inlineStr">
        <is>
          <t>not published</t>
        </is>
      </c>
      <c r="J50" s="65" t="inlineStr">
        <is>
          <t>ofmmodels.com</t>
        </is>
      </c>
      <c r="K50" s="74" t="inlineStr">
        <is>
          <t>verify</t>
        </is>
      </c>
      <c r="L50" s="65" t="inlineStr">
        <is>
          <t>Telegram @ofmm_agency</t>
        </is>
      </c>
      <c r="M50" s="74" t="inlineStr">
        <is>
          <t>not published</t>
        </is>
      </c>
      <c r="N50" s="74" t="inlineStr">
        <is>
          <t>not published</t>
        </is>
      </c>
      <c r="O50" s="65" t="inlineStr">
        <is>
          <t>Telegram DM.</t>
        </is>
      </c>
      <c r="P50" s="65" t="inlineStr">
        <is>
          <t>Serves Japanese creators too; Telegram intake (site)</t>
        </is>
      </c>
      <c r="Q50" s="65" t="inlineStr">
        <is>
          <t>https://ofmmodels.com/en/blog/kto-sozdal-onlyfans</t>
        </is>
      </c>
      <c r="R50" s="94" t="n">
        <v>3</v>
      </c>
      <c r="S50" s="67" t="n">
        <v>2</v>
      </c>
      <c r="T50" s="67" t="n">
        <v>4</v>
      </c>
      <c r="U50" s="67" t="n">
        <v>4</v>
      </c>
      <c r="V50" s="67" t="n">
        <v>3</v>
      </c>
      <c r="W50" s="67" t="n">
        <v>1</v>
      </c>
      <c r="X50" s="65">
        <f>ROUND((S50*'Scoring Model'!$B$5+T50*'Scoring Model'!$B$6+U50*'Scoring Model'!$B$7+V50*'Scoring Model'!$B$8+W50*'Scoring Model'!$B$9)/5*100,0)</f>
        <v/>
      </c>
      <c r="Y50" s="91">
        <f>INDEX('Scoring Model'!$B$14:$B$17,MATCH(X50,'Scoring Model'!$A$14:$A$17,1))</f>
        <v/>
      </c>
      <c r="Z50" s="92">
        <f>MOD(TIME(9,5,0)-F50/24,1)</f>
        <v/>
      </c>
      <c r="AA50" s="65">
        <f>IF(TIME(9,5,0)-F50/24&lt;0,"previous day (ET)","same day")</f>
        <v/>
      </c>
      <c r="AB50" s="74" t="n"/>
      <c r="AC50" s="65" t="inlineStr">
        <is>
          <t>Telegram-native — TTS bot integration is a natural fit.</t>
        </is>
      </c>
      <c r="AD50" s="65" t="inlineStr">
        <is>
          <t>Weekly enlistment — demand evidence</t>
        </is>
      </c>
    </row>
    <row r="51" ht="23.85" customHeight="1" s="55">
      <c r="A51" s="65" t="n">
        <v>50</v>
      </c>
      <c r="B51" s="77" t="inlineStr">
        <is>
          <t>Bop House (creator collective — not an agency)</t>
        </is>
      </c>
      <c r="C51" s="65" t="inlineStr">
        <is>
          <t>Miami, FL</t>
        </is>
      </c>
      <c r="D51" s="65" t="inlineStr">
        <is>
          <t>USA</t>
        </is>
      </c>
      <c r="E51" s="65" t="inlineStr">
        <is>
          <t>America/New_York (EDT)</t>
        </is>
      </c>
      <c r="F51" s="67" t="n">
        <v>0</v>
      </c>
      <c r="G51" s="65" t="inlineStr">
        <is>
          <t>Managed collective</t>
        </is>
      </c>
      <c r="H51" s="65" t="inlineStr">
        <is>
          <t>—</t>
        </is>
      </c>
      <c r="I51" s="74" t="inlineStr">
        <is>
          <t>not published</t>
        </is>
      </c>
      <c r="J51" s="65" t="inlineStr">
        <is>
          <t>via their management / Creators Inc relationship</t>
        </is>
      </c>
      <c r="K51" s="74" t="inlineStr">
        <is>
          <t>verify</t>
        </is>
      </c>
      <c r="L51" s="65" t="inlineStr">
        <is>
          <t>—</t>
        </is>
      </c>
      <c r="M51" s="74" t="inlineStr">
        <is>
          <t>not published</t>
        </is>
      </c>
      <c r="N51" s="74" t="inlineStr">
        <is>
          <t>not published</t>
        </is>
      </c>
      <c r="O51" s="65" t="inlineStr">
        <is>
          <t>Reach through Creators Inc — not directly.</t>
        </is>
      </c>
      <c r="P51" s="65" t="inlineStr">
        <is>
          <t>Highest-profile OF creator house (Wikipedia)</t>
        </is>
      </c>
      <c r="Q51" s="65" t="inlineStr">
        <is>
          <t>https://en.wikipedia.org/wiki/Bop_House · https://www.creatorsinc.com/</t>
        </is>
      </c>
      <c r="R51" s="78" t="n">
        <v>2</v>
      </c>
      <c r="S51" s="67" t="n">
        <v>5</v>
      </c>
      <c r="T51" s="67" t="n">
        <v>1</v>
      </c>
      <c r="U51" s="67" t="n">
        <v>2</v>
      </c>
      <c r="V51" s="67" t="n">
        <v>3</v>
      </c>
      <c r="W51" s="67" t="n">
        <v>3</v>
      </c>
      <c r="X51" s="65">
        <f>ROUND((S51*'Scoring Model'!$B$5+T51*'Scoring Model'!$B$6+U51*'Scoring Model'!$B$7+V51*'Scoring Model'!$B$8+W51*'Scoring Model'!$B$9)/5*100,0)</f>
        <v/>
      </c>
      <c r="Y51" s="91">
        <f>INDEX('Scoring Model'!$B$14:$B$17,MATCH(X51,'Scoring Model'!$A$14:$A$17,1))</f>
        <v/>
      </c>
      <c r="Z51" s="92">
        <f>MOD(TIME(9,5,0)-F51/24,1)</f>
        <v/>
      </c>
      <c r="AA51" s="65">
        <f>IF(TIME(9,5,0)-F51/24&lt;0,"previous day (ET)","same day")</f>
        <v/>
      </c>
      <c r="AB51" s="74" t="n"/>
      <c r="AC51" s="65" t="inlineStr">
        <is>
          <t>Warm intro only.</t>
        </is>
      </c>
      <c r="AD51" s="65" t="inlineStr">
        <is>
          <t>Weekly enlistment — demand evidence</t>
        </is>
      </c>
    </row>
    <row r="52" ht="79.84999999999999" customHeight="1" s="55">
      <c r="A52" s="65" t="n">
        <v>51</v>
      </c>
      <c r="B52" s="93" t="inlineStr">
        <is>
          <t>LONG TAIL — Supercreator directory (31 countries, paginated)</t>
        </is>
      </c>
      <c r="C52" s="65" t="inlineStr">
        <is>
          <t>Serbia, Estonia, Slovenia, DR, Israel, Italy, UAE, Turkey, NL, Poland, Brazil, Canada, France, Ukraine, Sweden, Czechia, Bali, Argentina, India, Switzerland, Colombia, Bulgaria, Belgium, Costa Rica, Mexico, Spain…</t>
        </is>
      </c>
      <c r="D52" s="65" t="inlineStr">
        <is>
          <t>Global</t>
        </is>
      </c>
      <c r="E52" s="65" t="inlineStr">
        <is>
          <t>varies</t>
        </is>
      </c>
      <c r="F52" s="67" t="n">
        <v>0</v>
      </c>
      <c r="G52" s="65" t="inlineStr">
        <is>
          <t>—</t>
        </is>
      </c>
      <c r="H52" s="65" t="inlineStr">
        <is>
          <t>—</t>
        </is>
      </c>
      <c r="I52" s="65" t="inlineStr">
        <is>
          <t>—</t>
        </is>
      </c>
      <c r="J52" s="65" t="inlineStr">
        <is>
          <t>https://www.supercreator.app/agencies (filter by country/city)</t>
        </is>
      </c>
      <c r="K52" s="65" t="inlineStr">
        <is>
          <t>—</t>
        </is>
      </c>
      <c r="L52" s="65" t="inlineStr">
        <is>
          <t>—</t>
        </is>
      </c>
      <c r="M52" s="65" t="inlineStr">
        <is>
          <t>—</t>
        </is>
      </c>
      <c r="N52" s="65" t="inlineStr">
        <is>
          <t>—</t>
        </is>
      </c>
      <c r="O52" s="65" t="inlineStr">
        <is>
          <t>Work page by page; each listing links to the agency site → Impressum/contact/footer.</t>
        </is>
      </c>
      <c r="P52" s="65" t="inlineStr">
        <is>
          <t>Directory of listed agencies (some verified by Supercreator)</t>
        </is>
      </c>
      <c r="Q52" s="65" t="inlineStr">
        <is>
          <t>https://www.supercreator.app/agencies</t>
        </is>
      </c>
      <c r="R52" s="94" t="n">
        <v>3</v>
      </c>
      <c r="S52" s="67" t="n">
        <v>3</v>
      </c>
      <c r="T52" s="67" t="n">
        <v>3</v>
      </c>
      <c r="U52" s="67" t="n">
        <v>3</v>
      </c>
      <c r="V52" s="67" t="n">
        <v>3</v>
      </c>
      <c r="W52" s="67" t="n">
        <v>2</v>
      </c>
      <c r="X52" s="65">
        <f>ROUND((S52*'Scoring Model'!$B$5+T52*'Scoring Model'!$B$6+U52*'Scoring Model'!$B$7+V52*'Scoring Model'!$B$8+W52*'Scoring Model'!$B$9)/5*100,0)</f>
        <v/>
      </c>
      <c r="Y52" s="91">
        <f>INDEX('Scoring Model'!$B$14:$B$17,MATCH(X52,'Scoring Model'!$A$14:$A$17,1))</f>
        <v/>
      </c>
      <c r="Z52" s="92">
        <f>MOD(TIME(9,5,0)-F52/24,1)</f>
        <v/>
      </c>
      <c r="AA52" s="65">
        <f>IF(TIME(9,5,0)-F52/24&lt;0,"previous day (ET)","same day")</f>
        <v/>
      </c>
      <c r="AB52" s="74" t="n"/>
      <c r="AC52" s="65" t="inlineStr">
        <is>
          <t>Batch 10-15 new rows per week from here; keep the same scoring.</t>
        </is>
      </c>
      <c r="AD52" s="65" t="inlineStr">
        <is>
          <t>Weekly enlistment — demand evidence</t>
        </is>
      </c>
    </row>
    <row r="54" ht="15" customHeight="1" s="55">
      <c r="B54" s="80" t="inlineStr">
        <is>
          <t>Expected meetings from this list (sum of P(meeting), full multi-channel sequence)</t>
        </is>
      </c>
      <c r="Y54" s="95">
        <f>SUM(Y2:Y52)</f>
        <v/>
      </c>
    </row>
    <row r="55" ht="15" customHeight="1" s="55">
      <c r="B55" s="80" t="inlineStr">
        <is>
          <t>Tier-1 / Tier-2 / Tier-3 count</t>
        </is>
      </c>
      <c r="R55" s="80">
        <f>COUNTIF(R2:R52,1)&amp;" / "&amp;COUNTIF(R2:R52,2)&amp;" / "&amp;COUNTIF(R2:R52,3)</f>
        <v/>
      </c>
    </row>
    <row r="56" ht="30" customHeight="1" s="55">
      <c r="B56" s="57" t="inlineStr">
        <is>
          <t>Component scores (cols S-W) are analyst estimates from public info. Offsets: UK/EU clocks fall back Oct 25, US Nov 1, Sydney springs forward Oct 4 — recheck send times after those dates.</t>
        </is>
      </c>
    </row>
  </sheetData>
  <autoFilter ref="A1:AD52"/>
  <mergeCells count="1">
    <mergeCell ref="B56:L5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54" min="1" max="1"/>
    <col width="24" customWidth="1" style="54" min="2" max="2"/>
    <col width="26" customWidth="1" style="54" min="3" max="3"/>
    <col width="40" customWidth="1" style="54" min="4" max="4"/>
    <col width="48" customWidth="1" style="54" min="5" max="5"/>
    <col width="22" customWidth="1" style="54" min="6" max="6"/>
    <col width="36" customWidth="1" style="54" min="7" max="7"/>
  </cols>
  <sheetData>
    <row r="1" ht="15" customHeight="1" s="55">
      <c r="A1" s="58" t="inlineStr">
        <is>
          <t>Where buyers and agency owners are — business venues only</t>
        </is>
      </c>
    </row>
    <row r="3" ht="15" customHeight="1" s="55">
      <c r="A3" s="64" t="inlineStr">
        <is>
          <t>Event / venue</t>
        </is>
      </c>
      <c r="B3" s="64" t="inlineStr">
        <is>
          <t>City</t>
        </is>
      </c>
      <c r="C3" s="64" t="inlineStr">
        <is>
          <t>Dates</t>
        </is>
      </c>
      <c r="D3" s="64" t="inlineStr">
        <is>
          <t>Who you'll meet</t>
        </is>
      </c>
      <c r="E3" s="64" t="inlineStr">
        <is>
          <t>The play</t>
        </is>
      </c>
      <c r="F3" s="64" t="inlineStr">
        <is>
          <t>Status</t>
        </is>
      </c>
      <c r="G3" s="64" t="inlineStr">
        <is>
          <t>Source</t>
        </is>
      </c>
    </row>
    <row r="4" ht="35.05" customHeight="1" s="55">
      <c r="A4" s="65" t="inlineStr">
        <is>
          <t>XBIZ Show / XBIZ Week (+ X3 Expo, XMAs)</t>
        </is>
      </c>
      <c r="B4" s="65" t="inlineStr">
        <is>
          <t>Los Angeles</t>
        </is>
      </c>
      <c r="C4" s="65" t="inlineStr">
        <is>
          <t>Jan 7-10, 2027</t>
        </is>
      </c>
      <c r="D4" s="65" t="inlineStr">
        <is>
          <t>Agency execs, platform reps, performers, marketers; AROA exhibits/attends</t>
        </is>
      </c>
      <c r="E4" s="65" t="inlineStr">
        <is>
          <t>Book business-lounge meetings from the target list; demo the weekly vote on a tablet</t>
        </is>
      </c>
      <c r="F4" s="65" t="inlineStr">
        <is>
          <t>Dates confirmed on xbizshow.com (Sept 19 check)</t>
        </is>
      </c>
      <c r="G4" s="65" t="inlineStr">
        <is>
          <t>https://www.xbizshow.com/</t>
        </is>
      </c>
    </row>
    <row r="5" ht="23.85" customHeight="1" s="55">
      <c r="A5" s="65" t="inlineStr">
        <is>
          <t>AVN Adult Entertainment Expo + AVN Awards</t>
        </is>
      </c>
      <c r="B5" s="65" t="inlineStr">
        <is>
          <t>Las Vegas</t>
        </is>
      </c>
      <c r="C5" s="65" t="inlineStr">
        <is>
          <t>Late Jan 2027 (confirm)</t>
        </is>
      </c>
      <c r="D5" s="65" t="inlineStr">
        <is>
          <t>Largest consumer+trade adult expo; agencies scout talent</t>
        </is>
      </c>
      <c r="E5" s="65" t="inlineStr">
        <is>
          <t>Booth-side weekly-vote demo</t>
        </is>
      </c>
      <c r="F5" s="65" t="inlineStr">
        <is>
          <t>Confirm on avn.com</t>
        </is>
      </c>
      <c r="G5" s="65" t="inlineStr">
        <is>
          <t>https://avn.com/</t>
        </is>
      </c>
    </row>
    <row r="6" ht="23.85" customHeight="1" s="55">
      <c r="A6" s="65" t="inlineStr">
        <is>
          <t>Rick's Cabaret New York (RCI Hospitality)</t>
        </is>
      </c>
      <c r="B6" s="65" t="inlineStr">
        <is>
          <t>NYC - 50 W 33rd St</t>
        </is>
      </c>
      <c r="C6" s="65" t="inlineStr">
        <is>
          <t>Any evening (call ahead)</t>
        </is>
      </c>
      <c r="D6" s="65" t="inlineStr">
        <is>
          <t>Venue GM; RCI has hosted investor meet-ups here</t>
        </is>
      </c>
      <c r="E6" s="65" t="inlineStr">
        <is>
          <t>60-second /clubs demo + ask for a corporate intro</t>
        </is>
      </c>
      <c r="F6" s="65" t="inlineStr">
        <is>
          <t>Business venue</t>
        </is>
      </c>
      <c r="G6" s="65" t="inlineStr">
        <is>
          <t>RCI earnings call transcript</t>
        </is>
      </c>
    </row>
    <row r="7" ht="15" customHeight="1" s="55">
      <c r="A7" s="65" t="inlineStr">
        <is>
          <t>NJ clubs on your /clubs list</t>
        </is>
      </c>
      <c r="B7" s="65" t="inlineStr">
        <is>
          <t>New Jersey</t>
        </is>
      </c>
      <c r="C7" s="65" t="inlineStr">
        <is>
          <t>Oct 8 evening (Plan tab)</t>
        </is>
      </c>
      <c r="D7" s="65" t="inlineStr">
        <is>
          <t>Owners/GMs</t>
        </is>
      </c>
      <c r="E7" s="65" t="inlineStr">
        <is>
          <t>Sign up 2-3 clubs on the spot = demand evidence</t>
        </is>
      </c>
      <c r="F7" s="65" t="inlineStr">
        <is>
          <t>Your list</t>
        </is>
      </c>
      <c r="G7" s="65" t="inlineStr">
        <is>
          <t>-</t>
        </is>
      </c>
    </row>
    <row r="8" ht="23.85" customHeight="1" s="55">
      <c r="A8" s="65" t="inlineStr">
        <is>
          <t>Miami Swim Week — CI Swimwear (Creators Inc)</t>
        </is>
      </c>
      <c r="B8" s="65" t="inlineStr">
        <is>
          <t>Miami</t>
        </is>
      </c>
      <c r="C8" s="65" t="inlineStr">
        <is>
          <t>Late May / early June (confirm)</t>
        </is>
      </c>
      <c r="D8" s="65" t="inlineStr">
        <is>
          <t>Andy Bachman + roster</t>
        </is>
      </c>
      <c r="E8" s="65" t="inlineStr">
        <is>
          <t>Gifting-suite slot = time with the #1 target's founder</t>
        </is>
      </c>
      <c r="F8" s="65" t="inlineStr">
        <is>
          <t>Confirm</t>
        </is>
      </c>
      <c r="G8" s="65" t="inlineStr">
        <is>
          <t>https://www.creatorsinc.com/</t>
        </is>
      </c>
    </row>
    <row r="9" ht="15" customHeight="1" s="55">
      <c r="A9" s="65" t="inlineStr">
        <is>
          <t>Exclu Awards LA (Louna's Models)</t>
        </is>
      </c>
      <c r="B9" s="65" t="inlineStr">
        <is>
          <t>Los Angeles</t>
        </is>
      </c>
      <c r="C9" s="65" t="inlineStr">
        <is>
          <t>Confirm with Louna's</t>
        </is>
      </c>
      <c r="D9" s="65" t="inlineStr">
        <is>
          <t>Top creators + Louna</t>
        </is>
      </c>
      <c r="E9" s="65" t="inlineStr">
        <is>
          <t>Propose a TTS-powered fan-vote award</t>
        </is>
      </c>
      <c r="F9" s="65" t="inlineStr">
        <is>
          <t>Confirm</t>
        </is>
      </c>
      <c r="G9" s="65" t="inlineStr">
        <is>
          <t>https://www.supercreator.app/agencies</t>
        </is>
      </c>
    </row>
    <row r="10" ht="23.85" customHeight="1" s="55">
      <c r="A10" s="65" t="inlineStr">
        <is>
          <t>Exxxotica Expo</t>
        </is>
      </c>
      <c r="B10" s="65" t="inlineStr">
        <is>
          <t>Edison NJ · Chicago · DC · Miami</t>
        </is>
      </c>
      <c r="C10" s="65" t="inlineStr">
        <is>
          <t>Confirm 2026-27 dates</t>
        </is>
      </c>
      <c r="D10" s="65" t="inlineStr">
        <is>
          <t>Creators, fans, some agency managers</t>
        </is>
      </c>
      <c r="E10" s="65" t="inlineStr">
        <is>
          <t>Creator signup drive on home turf</t>
        </is>
      </c>
      <c r="F10" s="65" t="inlineStr">
        <is>
          <t>Confirm</t>
        </is>
      </c>
      <c r="G10" s="65" t="inlineStr">
        <is>
          <t>https://en.wikipedia.org/wiki/Exxxotica_Expo</t>
        </is>
      </c>
    </row>
    <row r="11" ht="23.85" customHeight="1" s="55">
      <c r="A11" s="65" t="inlineStr">
        <is>
          <t>Creators Inc podcast</t>
        </is>
      </c>
      <c r="B11" s="65" t="inlineStr">
        <is>
          <t>Online</t>
        </is>
      </c>
      <c r="C11" s="65" t="inlineStr">
        <is>
          <t>Weekly</t>
        </is>
      </c>
      <c r="D11" s="65" t="inlineStr">
        <is>
          <t>Andy Bachman</t>
        </is>
      </c>
      <c r="E11" s="65" t="inlineStr">
        <is>
          <t>Pitch yourself as a guest (pro-sports S&amp;C coach + Prime documentary + creator economy)</t>
        </is>
      </c>
      <c r="F11" s="65" t="inlineStr">
        <is>
          <t>Open</t>
        </is>
      </c>
      <c r="G11" s="65" t="inlineStr">
        <is>
          <t>https://www.creatorsinc.com/</t>
        </is>
      </c>
    </row>
    <row r="12" ht="15" customHeight="1" s="55">
      <c r="A12" s="65" t="inlineStr">
        <is>
          <t>Supercreator Telegram + podcast</t>
        </is>
      </c>
      <c r="B12" s="65" t="inlineStr">
        <is>
          <t>Online</t>
        </is>
      </c>
      <c r="C12" s="65" t="inlineStr">
        <is>
          <t>Ongoing</t>
        </is>
      </c>
      <c r="D12" s="65" t="inlineStr">
        <is>
          <t>Agency owners</t>
        </is>
      </c>
      <c r="E12" s="65" t="inlineStr">
        <is>
          <t>Partner listing / guest slot</t>
        </is>
      </c>
      <c r="F12" s="65" t="inlineStr">
        <is>
          <t>Open</t>
        </is>
      </c>
      <c r="G12" s="65" t="inlineStr">
        <is>
          <t>https://www.supercreator.app/agencies</t>
        </is>
      </c>
    </row>
    <row r="13" ht="15" customHeight="1" s="55">
      <c r="A13" s="65" t="inlineStr">
        <is>
          <t>LinkedIn</t>
        </is>
      </c>
      <c r="B13" s="65" t="inlineStr">
        <is>
          <t>Online</t>
        </is>
      </c>
      <c r="C13" s="65" t="inlineStr">
        <is>
          <t>Daily</t>
        </is>
      </c>
      <c r="D13" s="65" t="inlineStr">
        <is>
          <t>Founders/CEOs on the Acquirers tab</t>
        </is>
      </c>
      <c r="E13" s="65" t="inlineStr">
        <is>
          <t>Connect note, then Email 2 content as a message</t>
        </is>
      </c>
      <c r="F13" s="65" t="inlineStr">
        <is>
          <t>Open</t>
        </is>
      </c>
      <c r="G13" s="65" t="inlineStr">
        <is>
          <t>-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2" customWidth="1" style="54" min="1" max="1"/>
    <col width="18" customWidth="1" style="54" min="2" max="2"/>
    <col width="60" customWidth="1" style="54" min="3" max="3"/>
  </cols>
  <sheetData>
    <row r="1" ht="15" customHeight="1" s="55">
      <c r="A1" s="58" t="inlineStr">
        <is>
          <t>What TTS is worth to an agency — plug their numbers in on the call (inputs blue/yellow; outputs are formulas)</t>
        </is>
      </c>
    </row>
    <row r="2" ht="30" customHeight="1" s="55">
      <c r="A2" s="57" t="inlineStr">
        <is>
          <t>Frame: TTS is a zero-labor top-of-funnel. Each creator on the weekly board gets a profile that routes voters to her link hub. Token prizes are upside — enter 0 unless you have the verified figure.</t>
        </is>
      </c>
    </row>
    <row r="4" ht="15" customHeight="1" s="55">
      <c r="A4" s="80" t="inlineStr">
        <is>
          <t>INPUTS</t>
        </is>
      </c>
    </row>
    <row r="5" ht="15" customHeight="1" s="55">
      <c r="A5" s="65" t="inlineStr">
        <is>
          <t>Weekly active voters on the board (YOUR live number — replace)</t>
        </is>
      </c>
      <c r="B5" s="96" t="n">
        <v>1000</v>
      </c>
      <c r="C5" s="65" t="inlineStr">
        <is>
          <t>Pull from admin; example value only</t>
        </is>
      </c>
    </row>
    <row r="6" ht="15" customHeight="1" s="55">
      <c r="A6" s="65" t="inlineStr">
        <is>
          <t>Creators on the board in a typical round</t>
        </is>
      </c>
      <c r="B6" s="96" t="n">
        <v>30</v>
      </c>
      <c r="C6" s="65" t="inlineStr">
        <is>
          <t>Example value</t>
        </is>
      </c>
    </row>
    <row r="7" ht="15" customHeight="1" s="55">
      <c r="A7" s="65" t="inlineStr">
        <is>
          <t>Share of voters who view a given creator's profile</t>
        </is>
      </c>
      <c r="B7" s="97" t="n">
        <v>0.2</v>
      </c>
      <c r="C7" s="65" t="inlineStr">
        <is>
          <t>Assumption — measure in-app</t>
        </is>
      </c>
    </row>
    <row r="8" ht="15" customHeight="1" s="55">
      <c r="A8" s="65" t="inlineStr">
        <is>
          <t>Profile → link-hub click-through</t>
        </is>
      </c>
      <c r="B8" s="97" t="n">
        <v>0.1</v>
      </c>
      <c r="C8" s="65" t="inlineStr">
        <is>
          <t>Assumption — add UTM to each hub link and measure</t>
        </is>
      </c>
    </row>
    <row r="9" ht="15" customHeight="1" s="55">
      <c r="A9" s="65" t="inlineStr">
        <is>
          <t>Link-hub → paid subscription conversion</t>
        </is>
      </c>
      <c r="B9" s="97" t="n">
        <v>0.03</v>
      </c>
      <c r="C9" s="65" t="inlineStr">
        <is>
          <t>Assumption; agencies know their own number — ask</t>
        </is>
      </c>
    </row>
    <row r="10" ht="15" customHeight="1" s="55">
      <c r="A10" s="65" t="inlineStr">
        <is>
          <t>Average subscription price ($/mo)</t>
        </is>
      </c>
      <c r="B10" s="98" t="n">
        <v>10</v>
      </c>
      <c r="C10" s="65" t="inlineStr">
        <is>
          <t>Agency input</t>
        </is>
      </c>
    </row>
    <row r="11" ht="15" customHeight="1" s="55">
      <c r="A11" s="65" t="inlineStr">
        <is>
          <t>Platform fee (OnlyFans keeps 20%)</t>
        </is>
      </c>
      <c r="B11" s="99" t="n">
        <v>0.2</v>
      </c>
      <c r="C11" s="65" t="inlineStr">
        <is>
          <t>OnlyFans standard split</t>
        </is>
      </c>
    </row>
    <row r="12" ht="15" customHeight="1" s="55">
      <c r="A12" s="65" t="inlineStr">
        <is>
          <t>Agency share of creator NET revenue</t>
        </is>
      </c>
      <c r="B12" s="99" t="n">
        <v>0.4</v>
      </c>
      <c r="C12" s="65" t="inlineStr">
        <is>
          <t>Industry range roughly 20-50% — agency input</t>
        </is>
      </c>
    </row>
    <row r="13" ht="15" customHeight="1" s="55">
      <c r="A13" s="65" t="inlineStr">
        <is>
          <t>Average months a new sub stays</t>
        </is>
      </c>
      <c r="B13" s="100" t="n">
        <v>2.5</v>
      </c>
      <c r="C13" s="65" t="inlineStr">
        <is>
          <t>Agency input</t>
        </is>
      </c>
    </row>
    <row r="14" ht="15" customHeight="1" s="55">
      <c r="A14" s="65" t="inlineStr">
        <is>
          <t>Agency labor per creator per week (hours) to participate</t>
        </is>
      </c>
      <c r="B14" s="101" t="n">
        <v>0.25</v>
      </c>
      <c r="C14" s="65" t="inlineStr">
        <is>
          <t>Uploading a photo + posting the vote link</t>
        </is>
      </c>
    </row>
    <row r="15" ht="15" customHeight="1" s="55">
      <c r="A15" s="65" t="inlineStr">
        <is>
          <t>Agency labor cost ($/hour)</t>
        </is>
      </c>
      <c r="B15" s="98" t="n">
        <v>20</v>
      </c>
      <c r="C15" s="65" t="inlineStr">
        <is>
          <t>Agency input</t>
        </is>
      </c>
    </row>
    <row r="16" ht="15" customHeight="1" s="55">
      <c r="A16" s="65" t="inlineStr">
        <is>
          <t>Creators the agency enters per week</t>
        </is>
      </c>
      <c r="B16" s="96" t="n">
        <v>10</v>
      </c>
      <c r="C16" s="65" t="inlineStr">
        <is>
          <t>The ask</t>
        </is>
      </c>
    </row>
    <row r="17" ht="23.85" customHeight="1" s="55">
      <c r="A17" s="65" t="inlineStr">
        <is>
          <t>Expected token/prize value per creator per week ($) — VERIFIED figure only, else 0</t>
        </is>
      </c>
      <c r="B17" s="98" t="n">
        <v>0</v>
      </c>
      <c r="C17" s="65" t="inlineStr">
        <is>
          <t>Leave 0 until the prize split is confirmed; never promise a pool size</t>
        </is>
      </c>
    </row>
    <row r="18" ht="15" customHeight="1" s="55">
      <c r="A18" s="65" t="inlineStr">
        <is>
          <t>Fans each entered creator brings in as voters per week</t>
        </is>
      </c>
      <c r="B18" s="96" t="n">
        <v>50</v>
      </c>
      <c r="C18" s="65" t="inlineStr">
        <is>
          <t>Assumption — the network effect: every roster brings its own voters</t>
        </is>
      </c>
    </row>
    <row r="19" ht="15" customHeight="1" s="55">
      <c r="A19" s="65" t="inlineStr">
        <is>
          <t>Share of those fans who sign up through the agency's referral link</t>
        </is>
      </c>
      <c r="B19" s="99" t="n">
        <v>0.3</v>
      </c>
      <c r="C19" s="65" t="inlineStr">
        <is>
          <t>Assumption</t>
        </is>
      </c>
    </row>
    <row r="20" ht="15" customHeight="1" s="55">
      <c r="A20" s="65" t="inlineStr">
        <is>
          <t>Referral payout per referred signup (TTS) — VERIFIED figure only, else 0</t>
        </is>
      </c>
      <c r="B20" s="102" t="n">
        <v>0</v>
      </c>
      <c r="C20" s="65" t="inlineStr">
        <is>
          <t>Verify in admin before quoting</t>
        </is>
      </c>
    </row>
    <row r="21" ht="15" customHeight="1" s="55">
      <c r="A21" s="65" t="inlineStr">
        <is>
          <t>TTS price used for valuation ($) — pool-realizable price, else 0</t>
        </is>
      </c>
      <c r="B21" s="103" t="n">
        <v>0</v>
      </c>
      <c r="C21" s="65" t="inlineStr">
        <is>
          <t>Only value what the pool can absorb</t>
        </is>
      </c>
    </row>
    <row r="23" ht="15" customHeight="1" s="55">
      <c r="A23" s="80" t="inlineStr">
        <is>
          <t>OUTPUTS (per creator per week unless stated)</t>
        </is>
      </c>
    </row>
    <row r="24" ht="15" customHeight="1" s="55">
      <c r="A24" s="65" t="inlineStr">
        <is>
          <t>Effective weekly voters (base + fans the entered creators bring)</t>
        </is>
      </c>
      <c r="B24" s="104">
        <f>B5+B16*B18</f>
        <v/>
      </c>
    </row>
    <row r="25" ht="15" customHeight="1" s="55">
      <c r="A25" s="65" t="inlineStr">
        <is>
          <t>Profile views per creator per week</t>
        </is>
      </c>
      <c r="B25" s="104">
        <f>B24*B7</f>
        <v/>
      </c>
    </row>
    <row r="26" ht="15" customHeight="1" s="55">
      <c r="A26" s="65" t="inlineStr">
        <is>
          <t>Link-hub clicks per creator per week</t>
        </is>
      </c>
      <c r="B26" s="105">
        <f>B25*B8</f>
        <v/>
      </c>
    </row>
    <row r="27" ht="15" customHeight="1" s="55">
      <c r="A27" s="65" t="inlineStr">
        <is>
          <t>New paid subs per creator per week</t>
        </is>
      </c>
      <c r="B27" s="106">
        <f>B26*B9</f>
        <v/>
      </c>
    </row>
    <row r="28" ht="15" customHeight="1" s="55">
      <c r="A28" s="65" t="inlineStr">
        <is>
          <t>Creator gross from those subs over their lifetime ($)</t>
        </is>
      </c>
      <c r="B28" s="107">
        <f>B27*B10*B13</f>
        <v/>
      </c>
    </row>
    <row r="29" ht="15" customHeight="1" s="55">
      <c r="A29" s="65" t="inlineStr">
        <is>
          <t>Creator net after platform fee ($)</t>
        </is>
      </c>
      <c r="B29" s="107">
        <f>B28*(1-B11)</f>
        <v/>
      </c>
    </row>
    <row r="30" ht="15" customHeight="1" s="55">
      <c r="A30" s="65" t="inlineStr">
        <is>
          <t>Agency revenue from those subs ($)</t>
        </is>
      </c>
      <c r="B30" s="107">
        <f>B29*B12</f>
        <v/>
      </c>
    </row>
    <row r="31" ht="15" customHeight="1" s="55">
      <c r="A31" s="65" t="inlineStr">
        <is>
          <t>Agency labor cost per creator per week ($)</t>
        </is>
      </c>
      <c r="B31" s="107">
        <f>B14*B15</f>
        <v/>
      </c>
    </row>
    <row r="32" ht="15" customHeight="1" s="55">
      <c r="A32" s="65" t="inlineStr">
        <is>
          <t>Agency net per creator per week, subs only ($)</t>
        </is>
      </c>
      <c r="B32" s="107">
        <f>B30-B31</f>
        <v/>
      </c>
    </row>
    <row r="33" ht="15" customHeight="1" s="55">
      <c r="A33" s="65" t="inlineStr">
        <is>
          <t>Agency referral revenue per creator per week ($)</t>
        </is>
      </c>
      <c r="B33" s="107">
        <f>B18*B19*B20*B21</f>
        <v/>
      </c>
    </row>
    <row r="34" ht="15" customHeight="1" s="55">
      <c r="A34" s="65" t="inlineStr">
        <is>
          <t>Agency net per creator per week incl. referral + verified prize share ($)</t>
        </is>
      </c>
      <c r="B34" s="107">
        <f>B32+B33+B17*B12</f>
        <v/>
      </c>
    </row>
    <row r="35" ht="15" customHeight="1" s="55">
      <c r="A35" s="65" t="inlineStr">
        <is>
          <t>Agency weekly net for the creators entered ($)</t>
        </is>
      </c>
      <c r="B35" s="107">
        <f>B34*B16</f>
        <v/>
      </c>
    </row>
    <row r="36" ht="15" customHeight="1" s="55">
      <c r="A36" s="65" t="inlineStr">
        <is>
          <t>Agency annualized net ($) — 52 rounds</t>
        </is>
      </c>
      <c r="B36" s="108">
        <f>B35*52</f>
        <v/>
      </c>
    </row>
    <row r="37" ht="15" customHeight="1" s="55">
      <c r="A37" s="65" t="inlineStr">
        <is>
          <t>Break-even link-hub→sub conversion (labor covered, subs only)</t>
        </is>
      </c>
      <c r="B37" s="109">
        <f>IF(B26*B10*B13*(1-B11)*B12=0,0,B31/(B26*B10*B13*(1-B11)*B12))</f>
        <v/>
      </c>
    </row>
    <row r="38" ht="15" customHeight="1" s="55">
      <c r="A38" s="65" t="inlineStr">
        <is>
          <t>Return on labor (net ÷ labor cost)</t>
        </is>
      </c>
      <c r="B38" s="110">
        <f>IF(B31=0,0,B34/B31)</f>
        <v/>
      </c>
    </row>
    <row r="40" ht="45" customHeight="1" s="55">
      <c r="A40" s="87" t="inlineStr">
        <is>
          <t>How to use on a call: ask for THEIR sub price, agency share and hub→sub conversion, leave the TTS-side assumptions as-is, and read rows 35-36 back to them. If row 37 (break-even conversion) is below their real conversion, participation pays at zero prize value.</t>
        </is>
      </c>
    </row>
  </sheetData>
  <mergeCells count="2">
    <mergeCell ref="A40:C40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2026-09-25T02:19:11Z</dcterms:created>
  <dcterms:modified xmlns:dcterms="http://purl.org/dc/terms/" xmlns:xsi="http://www.w3.org/2001/XMLSchema-instance" xsi:type="dcterms:W3CDTF">2026-09-25T10:33:34Z</dcterms:modified>
  <cp:revision>0</cp:revision>
</cp:coreProperties>
</file>